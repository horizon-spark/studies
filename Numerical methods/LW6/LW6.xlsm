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hub\studies\Numerical methods\LW6\"/>
    </mc:Choice>
  </mc:AlternateContent>
  <xr:revisionPtr revIDLastSave="0" documentId="13_ncr:1_{1909CB62-DEF3-4994-BBE0-5F2B1F2217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имметрические матрицы" sheetId="1" r:id="rId1"/>
    <sheet name="Неотрицательные матрицы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5" i="2" l="1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F11" i="2"/>
  <c r="AF12" i="2"/>
  <c r="AF13" i="2"/>
  <c r="AF19" i="2" s="1" a="1"/>
  <c r="AF14" i="2"/>
  <c r="AF15" i="2"/>
  <c r="AF16" i="2"/>
  <c r="AF17" i="2"/>
  <c r="X11" i="2"/>
  <c r="X12" i="2"/>
  <c r="X13" i="2"/>
  <c r="X19" i="2" s="1" a="1"/>
  <c r="X14" i="2"/>
  <c r="X15" i="2"/>
  <c r="X16" i="2"/>
  <c r="X17" i="2"/>
  <c r="B35" i="2"/>
  <c r="S11" i="2"/>
  <c r="S19" i="2" s="1" a="1"/>
  <c r="S12" i="2"/>
  <c r="S13" i="2"/>
  <c r="S14" i="2"/>
  <c r="S15" i="2"/>
  <c r="S16" i="2"/>
  <c r="S17" i="2"/>
  <c r="N11" i="2"/>
  <c r="N19" i="2" s="1" a="1"/>
  <c r="N12" i="2"/>
  <c r="N13" i="2"/>
  <c r="N14" i="2"/>
  <c r="N15" i="2"/>
  <c r="N16" i="2"/>
  <c r="N17" i="2"/>
  <c r="L11" i="2"/>
  <c r="L12" i="2"/>
  <c r="L13" i="2"/>
  <c r="L19" i="2" s="1" a="1"/>
  <c r="L14" i="2"/>
  <c r="L15" i="2"/>
  <c r="L16" i="2"/>
  <c r="L17" i="2"/>
  <c r="K11" i="2"/>
  <c r="K12" i="2"/>
  <c r="K13" i="2"/>
  <c r="K19" i="2" s="1" a="1"/>
  <c r="K14" i="2"/>
  <c r="K15" i="2"/>
  <c r="K16" i="2"/>
  <c r="K17" i="2"/>
  <c r="J11" i="2"/>
  <c r="J12" i="2"/>
  <c r="J13" i="2"/>
  <c r="J19" i="2" s="1" a="1"/>
  <c r="J14" i="2"/>
  <c r="J15" i="2"/>
  <c r="J16" i="2"/>
  <c r="J17" i="2"/>
  <c r="I11" i="2"/>
  <c r="I12" i="2"/>
  <c r="I13" i="2"/>
  <c r="I19" i="2" s="1" a="1"/>
  <c r="I14" i="2"/>
  <c r="I15" i="2"/>
  <c r="I16" i="2"/>
  <c r="I17" i="2"/>
  <c r="C35" i="2"/>
  <c r="C17" i="2"/>
  <c r="B30" i="2"/>
  <c r="B31" i="2"/>
  <c r="B32" i="2"/>
  <c r="B33" i="2"/>
  <c r="B34" i="2"/>
  <c r="B29" i="2"/>
  <c r="C19" i="2" a="1"/>
  <c r="C19" i="2" s="1"/>
  <c r="C29" i="2" s="1"/>
  <c r="C11" i="2"/>
  <c r="B19" i="2" a="1"/>
  <c r="B19" i="2" s="1"/>
  <c r="B27" i="2" s="1"/>
  <c r="I3" i="2"/>
  <c r="I4" i="2"/>
  <c r="I5" i="2"/>
  <c r="I6" i="2"/>
  <c r="I7" i="2"/>
  <c r="I8" i="2"/>
  <c r="I2" i="2"/>
  <c r="K9" i="1"/>
  <c r="D17" i="1" a="1"/>
  <c r="D17" i="1" s="1"/>
  <c r="AF30" i="2" l="1"/>
  <c r="AF31" i="2"/>
  <c r="AF32" i="2"/>
  <c r="AF19" i="2"/>
  <c r="AF33" i="2"/>
  <c r="AF34" i="2"/>
  <c r="Y12" i="2"/>
  <c r="X19" i="2"/>
  <c r="X31" i="2"/>
  <c r="X30" i="2"/>
  <c r="Y16" i="2"/>
  <c r="X34" i="2"/>
  <c r="Y17" i="2"/>
  <c r="Y15" i="2"/>
  <c r="Y14" i="2"/>
  <c r="X33" i="2"/>
  <c r="Y13" i="2"/>
  <c r="X32" i="2"/>
  <c r="T12" i="2"/>
  <c r="S19" i="2"/>
  <c r="S31" i="2"/>
  <c r="T17" i="2"/>
  <c r="T16" i="2"/>
  <c r="T15" i="2"/>
  <c r="S34" i="2"/>
  <c r="T14" i="2"/>
  <c r="S33" i="2"/>
  <c r="T13" i="2"/>
  <c r="S32" i="2"/>
  <c r="S30" i="2"/>
  <c r="O12" i="2"/>
  <c r="N19" i="2"/>
  <c r="O17" i="2"/>
  <c r="N30" i="2"/>
  <c r="O15" i="2"/>
  <c r="N34" i="2"/>
  <c r="O14" i="2"/>
  <c r="N33" i="2"/>
  <c r="O13" i="2"/>
  <c r="N32" i="2"/>
  <c r="N31" i="2"/>
  <c r="O16" i="2"/>
  <c r="M13" i="2"/>
  <c r="M16" i="2"/>
  <c r="L31" i="2"/>
  <c r="L34" i="2"/>
  <c r="M14" i="2"/>
  <c r="M17" i="2"/>
  <c r="L32" i="2"/>
  <c r="M12" i="2"/>
  <c r="M15" i="2"/>
  <c r="L19" i="2"/>
  <c r="L30" i="2"/>
  <c r="L33" i="2"/>
  <c r="K30" i="2"/>
  <c r="K31" i="2"/>
  <c r="K32" i="2"/>
  <c r="K19" i="2"/>
  <c r="K33" i="2"/>
  <c r="K34" i="2"/>
  <c r="J30" i="2"/>
  <c r="J31" i="2"/>
  <c r="J32" i="2"/>
  <c r="J19" i="2"/>
  <c r="J33" i="2"/>
  <c r="J34" i="2"/>
  <c r="I19" i="2"/>
  <c r="I34" i="2"/>
  <c r="I30" i="2"/>
  <c r="I31" i="2"/>
  <c r="I32" i="2"/>
  <c r="I33" i="2"/>
  <c r="D12" i="2"/>
  <c r="D17" i="2"/>
  <c r="D11" i="2"/>
  <c r="C34" i="2"/>
  <c r="C33" i="2"/>
  <c r="C32" i="2"/>
  <c r="C31" i="2"/>
  <c r="C30" i="2"/>
  <c r="D16" i="2"/>
  <c r="D15" i="2"/>
  <c r="D14" i="2"/>
  <c r="D13" i="2"/>
  <c r="C16" i="2"/>
  <c r="C12" i="2"/>
  <c r="C14" i="2"/>
  <c r="C15" i="2"/>
  <c r="C13" i="2"/>
  <c r="AF27" i="2" l="1"/>
  <c r="AF29" i="2"/>
  <c r="X29" i="2"/>
  <c r="Y11" i="2"/>
  <c r="Y19" i="2" s="1" a="1"/>
  <c r="X27" i="2"/>
  <c r="T11" i="2"/>
  <c r="T19" i="2" s="1" a="1"/>
  <c r="S27" i="2"/>
  <c r="S29" i="2"/>
  <c r="N29" i="2"/>
  <c r="N27" i="2"/>
  <c r="O11" i="2"/>
  <c r="O19" i="2" s="1" a="1"/>
  <c r="L27" i="2"/>
  <c r="M11" i="2"/>
  <c r="M19" i="2" s="1" a="1"/>
  <c r="L29" i="2"/>
  <c r="K27" i="2"/>
  <c r="K29" i="2"/>
  <c r="J27" i="2"/>
  <c r="J29" i="2"/>
  <c r="I27" i="2"/>
  <c r="I29" i="2"/>
  <c r="D19" i="2" a="1"/>
  <c r="C27" i="2"/>
  <c r="Z13" i="2" l="1"/>
  <c r="Y32" i="2"/>
  <c r="Y30" i="2"/>
  <c r="Z15" i="2"/>
  <c r="Z12" i="2"/>
  <c r="Y31" i="2"/>
  <c r="Z16" i="2"/>
  <c r="Y34" i="2"/>
  <c r="Z17" i="2"/>
  <c r="Y19" i="2"/>
  <c r="Z14" i="2"/>
  <c r="Y33" i="2"/>
  <c r="U13" i="2"/>
  <c r="T32" i="2"/>
  <c r="U12" i="2"/>
  <c r="T19" i="2"/>
  <c r="T30" i="2"/>
  <c r="U16" i="2"/>
  <c r="U15" i="2"/>
  <c r="T34" i="2"/>
  <c r="U14" i="2"/>
  <c r="T33" i="2"/>
  <c r="T31" i="2"/>
  <c r="U17" i="2"/>
  <c r="P13" i="2"/>
  <c r="P12" i="2"/>
  <c r="O19" i="2"/>
  <c r="P17" i="2"/>
  <c r="P16" i="2"/>
  <c r="P15" i="2"/>
  <c r="O34" i="2"/>
  <c r="O31" i="2"/>
  <c r="P14" i="2"/>
  <c r="O33" i="2"/>
  <c r="O32" i="2"/>
  <c r="O30" i="2"/>
  <c r="M19" i="2"/>
  <c r="M30" i="2"/>
  <c r="M33" i="2"/>
  <c r="M31" i="2"/>
  <c r="M34" i="2"/>
  <c r="M32" i="2"/>
  <c r="D35" i="2"/>
  <c r="D30" i="2"/>
  <c r="D31" i="2"/>
  <c r="D32" i="2"/>
  <c r="D33" i="2"/>
  <c r="D34" i="2"/>
  <c r="E12" i="2"/>
  <c r="E17" i="2"/>
  <c r="E15" i="2"/>
  <c r="E16" i="2"/>
  <c r="E14" i="2"/>
  <c r="D19" i="2"/>
  <c r="E13" i="2"/>
  <c r="Y29" i="2" l="1"/>
  <c r="Z11" i="2"/>
  <c r="Z19" i="2" s="1" a="1"/>
  <c r="Y27" i="2"/>
  <c r="U11" i="2"/>
  <c r="U19" i="2" s="1" a="1"/>
  <c r="T29" i="2"/>
  <c r="T27" i="2"/>
  <c r="P11" i="2"/>
  <c r="P19" i="2" s="1" a="1"/>
  <c r="O29" i="2"/>
  <c r="O27" i="2"/>
  <c r="M27" i="2"/>
  <c r="M29" i="2"/>
  <c r="D29" i="2"/>
  <c r="D27" i="2"/>
  <c r="E11" i="2"/>
  <c r="E19" i="2" s="1" a="1"/>
  <c r="AA14" i="2" l="1"/>
  <c r="Z33" i="2"/>
  <c r="Z31" i="2"/>
  <c r="AA13" i="2"/>
  <c r="Z32" i="2"/>
  <c r="AA17" i="2"/>
  <c r="Z30" i="2"/>
  <c r="AA12" i="2"/>
  <c r="Z19" i="2"/>
  <c r="AA15" i="2"/>
  <c r="Z34" i="2"/>
  <c r="AA16" i="2"/>
  <c r="V14" i="2"/>
  <c r="U33" i="2"/>
  <c r="V13" i="2"/>
  <c r="V12" i="2"/>
  <c r="V17" i="2"/>
  <c r="U30" i="2"/>
  <c r="V16" i="2"/>
  <c r="U19" i="2"/>
  <c r="V15" i="2"/>
  <c r="U34" i="2"/>
  <c r="U32" i="2"/>
  <c r="U31" i="2"/>
  <c r="Q14" i="2"/>
  <c r="Q13" i="2"/>
  <c r="Q12" i="2"/>
  <c r="Q17" i="2"/>
  <c r="P30" i="2"/>
  <c r="Q16" i="2"/>
  <c r="P19" i="2"/>
  <c r="P32" i="2"/>
  <c r="Q15" i="2"/>
  <c r="P34" i="2"/>
  <c r="P33" i="2"/>
  <c r="P31" i="2"/>
  <c r="E31" i="2"/>
  <c r="E32" i="2"/>
  <c r="E33" i="2"/>
  <c r="E30" i="2"/>
  <c r="E34" i="2"/>
  <c r="E35" i="2"/>
  <c r="F17" i="2"/>
  <c r="F14" i="2"/>
  <c r="F16" i="2"/>
  <c r="E19" i="2"/>
  <c r="F15" i="2"/>
  <c r="F13" i="2"/>
  <c r="F12" i="2"/>
  <c r="AA11" i="2" l="1"/>
  <c r="AA19" i="2" s="1" a="1"/>
  <c r="Z29" i="2"/>
  <c r="Z27" i="2"/>
  <c r="V11" i="2"/>
  <c r="V19" i="2" s="1" a="1"/>
  <c r="U29" i="2"/>
  <c r="U27" i="2"/>
  <c r="Q11" i="2"/>
  <c r="Q19" i="2" s="1" a="1"/>
  <c r="P29" i="2"/>
  <c r="P27" i="2"/>
  <c r="E29" i="2"/>
  <c r="F11" i="2"/>
  <c r="F19" i="2" s="1" a="1"/>
  <c r="E27" i="2"/>
  <c r="AB15" i="2" l="1"/>
  <c r="AA19" i="2"/>
  <c r="AA34" i="2"/>
  <c r="AA32" i="2"/>
  <c r="AB17" i="2"/>
  <c r="AA30" i="2"/>
  <c r="AB14" i="2"/>
  <c r="AA33" i="2"/>
  <c r="AB13" i="2"/>
  <c r="AB16" i="2"/>
  <c r="AB12" i="2"/>
  <c r="AA31" i="2"/>
  <c r="W15" i="2"/>
  <c r="V19" i="2"/>
  <c r="V34" i="2"/>
  <c r="W14" i="2"/>
  <c r="W13" i="2"/>
  <c r="W12" i="2"/>
  <c r="V31" i="2"/>
  <c r="W17" i="2"/>
  <c r="V30" i="2"/>
  <c r="W16" i="2"/>
  <c r="V33" i="2"/>
  <c r="V32" i="2"/>
  <c r="R15" i="2"/>
  <c r="Q19" i="2"/>
  <c r="Q34" i="2"/>
  <c r="R13" i="2"/>
  <c r="Q32" i="2"/>
  <c r="R12" i="2"/>
  <c r="Q31" i="2"/>
  <c r="R17" i="2"/>
  <c r="Q30" i="2"/>
  <c r="Q33" i="2"/>
  <c r="R16" i="2"/>
  <c r="R14" i="2"/>
  <c r="F35" i="2"/>
  <c r="F30" i="2"/>
  <c r="F31" i="2"/>
  <c r="F32" i="2"/>
  <c r="F33" i="2"/>
  <c r="F34" i="2"/>
  <c r="G15" i="2"/>
  <c r="G14" i="2"/>
  <c r="G17" i="2"/>
  <c r="G13" i="2"/>
  <c r="G16" i="2"/>
  <c r="F19" i="2"/>
  <c r="G12" i="2"/>
  <c r="AA27" i="2" l="1"/>
  <c r="AB11" i="2"/>
  <c r="AB19" i="2" s="1" a="1"/>
  <c r="AA29" i="2"/>
  <c r="V27" i="2"/>
  <c r="W11" i="2"/>
  <c r="W19" i="2" s="1" a="1"/>
  <c r="V29" i="2"/>
  <c r="Q27" i="2"/>
  <c r="R11" i="2"/>
  <c r="R19" i="2" s="1" a="1"/>
  <c r="Q29" i="2"/>
  <c r="F29" i="2"/>
  <c r="G11" i="2"/>
  <c r="G19" i="2" s="1" a="1"/>
  <c r="F27" i="2"/>
  <c r="AC16" i="2" l="1"/>
  <c r="AB19" i="2"/>
  <c r="AC13" i="2"/>
  <c r="AC15" i="2"/>
  <c r="AB34" i="2"/>
  <c r="AB33" i="2"/>
  <c r="AB31" i="2"/>
  <c r="AC14" i="2"/>
  <c r="AC17" i="2"/>
  <c r="AB30" i="2"/>
  <c r="AB32" i="2"/>
  <c r="AC12" i="2"/>
  <c r="W19" i="2"/>
  <c r="W33" i="2"/>
  <c r="W32" i="2"/>
  <c r="W31" i="2"/>
  <c r="W30" i="2"/>
  <c r="W34" i="2"/>
  <c r="R32" i="2"/>
  <c r="R31" i="2"/>
  <c r="R33" i="2"/>
  <c r="R30" i="2"/>
  <c r="R34" i="2"/>
  <c r="R19" i="2"/>
  <c r="G35" i="2"/>
  <c r="G30" i="2"/>
  <c r="G31" i="2"/>
  <c r="G32" i="2"/>
  <c r="G33" i="2"/>
  <c r="G34" i="2"/>
  <c r="H14" i="2"/>
  <c r="H16" i="2"/>
  <c r="H12" i="2"/>
  <c r="H13" i="2"/>
  <c r="H17" i="2"/>
  <c r="H15" i="2"/>
  <c r="G19" i="2"/>
  <c r="AB29" i="2" l="1"/>
  <c r="AB27" i="2"/>
  <c r="AC11" i="2"/>
  <c r="AC19" i="2" s="1" a="1"/>
  <c r="W29" i="2"/>
  <c r="W27" i="2"/>
  <c r="R27" i="2"/>
  <c r="R29" i="2"/>
  <c r="G29" i="2"/>
  <c r="G27" i="2"/>
  <c r="H11" i="2"/>
  <c r="H19" i="2" s="1" a="1"/>
  <c r="AD17" i="2" l="1"/>
  <c r="AC30" i="2"/>
  <c r="AC19" i="2"/>
  <c r="AC32" i="2"/>
  <c r="AD16" i="2"/>
  <c r="AD14" i="2"/>
  <c r="AD15" i="2"/>
  <c r="AC34" i="2"/>
  <c r="AC33" i="2"/>
  <c r="AD13" i="2"/>
  <c r="AD12" i="2"/>
  <c r="AC31" i="2"/>
  <c r="H19" i="2"/>
  <c r="H35" i="2"/>
  <c r="H30" i="2"/>
  <c r="H31" i="2"/>
  <c r="H32" i="2"/>
  <c r="H33" i="2"/>
  <c r="H34" i="2"/>
  <c r="AD11" i="2" l="1"/>
  <c r="AD19" i="2" s="1" a="1"/>
  <c r="AC27" i="2"/>
  <c r="AC29" i="2"/>
  <c r="H27" i="2"/>
  <c r="H29" i="2"/>
  <c r="AE12" i="2" l="1"/>
  <c r="AD19" i="2"/>
  <c r="AD31" i="2"/>
  <c r="AE15" i="2"/>
  <c r="AE14" i="2"/>
  <c r="AE17" i="2"/>
  <c r="AD30" i="2"/>
  <c r="AD34" i="2"/>
  <c r="AE16" i="2"/>
  <c r="AE13" i="2"/>
  <c r="AD32" i="2"/>
  <c r="AD33" i="2"/>
  <c r="AD29" i="2" l="1"/>
  <c r="AE11" i="2"/>
  <c r="AE19" i="2" s="1" a="1"/>
  <c r="AD27" i="2"/>
  <c r="AE32" i="2" l="1"/>
  <c r="AE31" i="2"/>
  <c r="AE30" i="2"/>
  <c r="AE19" i="2"/>
  <c r="AE34" i="2"/>
  <c r="AE33" i="2"/>
  <c r="AE27" i="2" l="1"/>
  <c r="AE29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<sst xmlns="http://schemas.openxmlformats.org/spreadsheetml/2006/main" count="22" uniqueCount="22">
  <si>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A</t>
  </si>
  <si>
    <t>A(new) = A * AT</t>
  </si>
  <si>
    <t>Порядок матрицы</t>
  </si>
  <si>
    <t>Строка</t>
  </si>
  <si>
    <t>Колонка</t>
  </si>
  <si>
    <t>A(init)</t>
  </si>
  <si>
    <t>AT(init)</t>
  </si>
  <si>
    <t>cond(A) =</t>
  </si>
  <si>
    <t>Очки</t>
  </si>
  <si>
    <t>Место</t>
  </si>
  <si>
    <t>ФИО</t>
  </si>
  <si>
    <t>Горелов Юрий</t>
  </si>
  <si>
    <t>Наумов Антон</t>
  </si>
  <si>
    <t>Шаланда Илья</t>
  </si>
  <si>
    <t>Лихачев Михаил</t>
  </si>
  <si>
    <t>Голотин Вадим</t>
  </si>
  <si>
    <t>Ярмолич Максим</t>
  </si>
  <si>
    <t>Мохсунзаде Алиакпер</t>
  </si>
  <si>
    <t>x</t>
  </si>
  <si>
    <t>y</t>
  </si>
  <si>
    <t>s</t>
  </si>
  <si>
    <t>y /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</si>
</sst>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21"/>
  <sheetViews>
    <sheetView tabSelected="1" topLeftCell="B1" workbookViewId="0">
      <selection activeCell="M16" sqref="M16"/>
    </sheetView>
  </sheetViews>
  <sheetFormatPr defaultRowHeight="15" x14ac:dyDescent="0.25"/>
  <cols>
    <col min="4" max="4" width="9.140625" customWidth="1"/>
    <col min="10" max="10" width="9.42578125" customWidth="1"/>
  </cols>
  <sheetData>
    <row r="1" spans="1:14" ht="30" customHeight="1" x14ac:dyDescent="0.25">
      <c r="A1" s="2" t="s">
        <v>2</v>
      </c>
      <c r="B1">
        <v>5</v>
      </c>
    </row>
    <row r="2" spans="1:14" x14ac:dyDescent="0.25">
      <c r="A2" t="s">
        <v>3</v>
      </c>
      <c r="B2">
        <v>3</v>
      </c>
      <c r="D2" s="4" t="s">
        <v>5</v>
      </c>
      <c r="E2" s="4"/>
      <c r="F2" s="4"/>
      <c r="G2" s="4"/>
      <c r="H2" s="4"/>
      <c r="J2" s="4" t="s">
        <v>0</v>
      </c>
      <c r="K2" s="4"/>
      <c r="L2" s="4"/>
      <c r="M2" s="4"/>
      <c r="N2" s="4"/>
    </row>
    <row r="3" spans="1:14" x14ac:dyDescent="0.25">
      <c r="A3" t="s">
        <v>4</v>
      </c>
      <c r="B3">
        <v>10</v>
      </c>
      <c r="D3" s="1">
        <v>5.2403000000000004</v>
      </c>
      <c r="E3" s="1">
        <v>5.7522000000000002</v>
      </c>
      <c r="F3" s="1">
        <v>3.4759000000000002</v>
      </c>
      <c r="G3" s="1">
        <v>-0.48749999999999999</v>
      </c>
      <c r="H3" s="1">
        <v>-1.3241000000000001</v>
      </c>
      <c r="J3" s="3">
        <v>37.471549633683203</v>
      </c>
      <c r="K3">
        <v>2.1175823681357508E-22</v>
      </c>
      <c r="L3">
        <v>-1.8747233341448698E-17</v>
      </c>
      <c r="M3">
        <v>2.4397534759503106E-13</v>
      </c>
      <c r="N3">
        <v>1.826582500210108E-10</v>
      </c>
    </row>
    <row r="4" spans="1:14" x14ac:dyDescent="0.25">
      <c r="D4" s="1">
        <v>-1.4360999999999999</v>
      </c>
      <c r="E4" s="1">
        <v>-0.22059999999999999</v>
      </c>
      <c r="F4" s="1">
        <v>-2.2722000000000002</v>
      </c>
      <c r="G4" s="1">
        <v>9.7707999999999995</v>
      </c>
      <c r="H4" s="1">
        <v>-1.2518</v>
      </c>
      <c r="J4">
        <v>2.1175823681357508E-22</v>
      </c>
      <c r="K4" s="3">
        <v>327.92552592971219</v>
      </c>
      <c r="L4">
        <v>3.5645084683676146E-9</v>
      </c>
      <c r="M4">
        <v>3.4119221568716103E-13</v>
      </c>
      <c r="N4">
        <v>9.7427167899152109E-19</v>
      </c>
    </row>
    <row r="5" spans="1:14" x14ac:dyDescent="0.25">
      <c r="D5" s="1">
        <v>5.1886000000000001</v>
      </c>
      <c r="E5" s="1">
        <v>9.5263000000000009</v>
      </c>
      <c r="F5" s="1">
        <v>-8.0340000000000007</v>
      </c>
      <c r="G5" s="1">
        <v>-4.2249999999999996</v>
      </c>
      <c r="H5" s="1">
        <v>-9.3440999999999992</v>
      </c>
      <c r="J5">
        <v>-1.8747233341448698E-17</v>
      </c>
      <c r="K5">
        <v>3.5645084683676146E-9</v>
      </c>
      <c r="L5" s="3">
        <v>105.56786965662643</v>
      </c>
      <c r="M5">
        <v>1.8732382751445468E-20</v>
      </c>
      <c r="N5">
        <v>-3.5078709248875173E-15</v>
      </c>
    </row>
    <row r="6" spans="1:14" x14ac:dyDescent="0.25">
      <c r="D6" s="1">
        <v>5.4817</v>
      </c>
      <c r="E6" s="1">
        <v>-1.0106999999999999</v>
      </c>
      <c r="F6" s="1">
        <v>-6.6711</v>
      </c>
      <c r="G6" s="1">
        <v>-4.8913000000000002</v>
      </c>
      <c r="H6" s="1">
        <v>4.4775</v>
      </c>
      <c r="J6">
        <v>2.4397534759503106E-13</v>
      </c>
      <c r="K6">
        <v>3.4119221568716103E-13</v>
      </c>
      <c r="L6">
        <v>1.8732382751445468E-20</v>
      </c>
      <c r="M6" s="3">
        <v>275.09559711817661</v>
      </c>
      <c r="N6">
        <v>9.9147598638978276E-8</v>
      </c>
    </row>
    <row r="7" spans="1:14" x14ac:dyDescent="0.25">
      <c r="D7" s="1">
        <v>-2.5373000000000001</v>
      </c>
      <c r="E7" s="1">
        <v>2.5573000000000001</v>
      </c>
      <c r="F7" s="1">
        <v>-6.9600999999999997</v>
      </c>
      <c r="G7" s="1">
        <v>9.6417000000000002</v>
      </c>
      <c r="H7" s="1">
        <v>-2.7947000000000002</v>
      </c>
      <c r="J7">
        <v>1.826582500210108E-10</v>
      </c>
      <c r="K7">
        <v>9.7427167899152109E-19</v>
      </c>
      <c r="L7">
        <v>-3.5078709248875173E-15</v>
      </c>
      <c r="M7">
        <v>9.9147598638978276E-8</v>
      </c>
      <c r="N7" s="3">
        <v>1.9905483118015408</v>
      </c>
    </row>
    <row r="9" spans="1:14" x14ac:dyDescent="0.25">
      <c r="D9" s="4" t="s">
        <v>6</v>
      </c>
      <c r="E9" s="4"/>
      <c r="F9" s="4"/>
      <c r="G9" s="4"/>
      <c r="H9" s="4"/>
      <c r="J9" t="s">
        <v>7</v>
      </c>
      <c r="K9">
        <f>SQRT(K4 / N7)</f>
        <v>12.835158927240167</v>
      </c>
    </row>
    <row r="10" spans="1:14" x14ac:dyDescent="0.25">
      <c r="D10">
        <v>5.2403000000000004</v>
      </c>
      <c r="E10">
        <v>-1.4360999999999999</v>
      </c>
      <c r="F10">
        <v>5.1886000000000001</v>
      </c>
      <c r="G10">
        <v>5.4817</v>
      </c>
      <c r="H10">
        <v>-2.5373000000000001</v>
      </c>
    </row>
    <row r="11" spans="1:14" x14ac:dyDescent="0.25">
      <c r="D11">
        <v>5.7522000000000002</v>
      </c>
      <c r="E11">
        <v>-0.22059999999999999</v>
      </c>
      <c r="F11">
        <v>9.5263000000000009</v>
      </c>
      <c r="G11">
        <v>-1.0106999999999999</v>
      </c>
      <c r="H11">
        <v>2.5573000000000001</v>
      </c>
    </row>
    <row r="12" spans="1:14" x14ac:dyDescent="0.25">
      <c r="D12">
        <v>3.4759000000000002</v>
      </c>
      <c r="E12">
        <v>-2.2722000000000002</v>
      </c>
      <c r="F12">
        <v>-8.0340000000000007</v>
      </c>
      <c r="G12">
        <v>-6.6711</v>
      </c>
      <c r="H12">
        <v>-6.9600999999999997</v>
      </c>
    </row>
    <row r="13" spans="1:14" x14ac:dyDescent="0.25">
      <c r="D13">
        <v>-0.48749999999999999</v>
      </c>
      <c r="E13">
        <v>9.7707999999999995</v>
      </c>
      <c r="F13">
        <v>-4.2249999999999996</v>
      </c>
      <c r="G13">
        <v>-4.8913000000000002</v>
      </c>
      <c r="H13">
        <v>9.6417000000000002</v>
      </c>
    </row>
    <row r="14" spans="1:14" x14ac:dyDescent="0.25">
      <c r="D14">
        <v>-1.3241000000000001</v>
      </c>
      <c r="E14">
        <v>-1.2518</v>
      </c>
      <c r="F14">
        <v>-9.3440999999999992</v>
      </c>
      <c r="G14">
        <v>4.4775</v>
      </c>
      <c r="H14">
        <v>-2.7947000000000002</v>
      </c>
    </row>
    <row r="16" spans="1:14" x14ac:dyDescent="0.25">
      <c r="D16" s="4" t="s">
        <v>1</v>
      </c>
      <c r="E16" s="4"/>
      <c r="F16" s="4"/>
      <c r="G16" s="4"/>
      <c r="H16" s="4"/>
    </row>
    <row r="17" spans="4:8" x14ac:dyDescent="0.25">
      <c r="D17" cm="1">
        <f t="array" ref="D17:H21">MMULT(D10:H14,D3:H7)</f>
        <v>92.931623439999996</v>
      </c>
      <c r="E17">
        <v>67.859226020000008</v>
      </c>
      <c r="F17">
        <v>-39.116454349999998</v>
      </c>
      <c r="G17">
        <v>-89.784851750000001</v>
      </c>
      <c r="H17">
        <v>-21.988464449999999</v>
      </c>
    </row>
    <row r="18" spans="4:8" x14ac:dyDescent="0.25">
      <c r="D18">
        <v>67.859226020000008</v>
      </c>
      <c r="E18">
        <v>131.44815867</v>
      </c>
      <c r="F18">
        <v>-67.095557860000014</v>
      </c>
      <c r="G18">
        <v>-15.60789716</v>
      </c>
      <c r="H18">
        <v>-108.02733633</v>
      </c>
    </row>
    <row r="19" spans="4:8" x14ac:dyDescent="0.25">
      <c r="D19">
        <v>-39.116454349999998</v>
      </c>
      <c r="E19">
        <v>-67.095557860000014</v>
      </c>
      <c r="F19">
        <v>174.73649687</v>
      </c>
      <c r="G19">
        <v>-24.428907749999993</v>
      </c>
      <c r="H19">
        <v>62.893941390000009</v>
      </c>
    </row>
    <row r="20" spans="4:8" x14ac:dyDescent="0.25">
      <c r="D20">
        <v>-89.784851750000001</v>
      </c>
      <c r="E20">
        <v>-15.60789716</v>
      </c>
      <c r="F20">
        <v>-24.428907749999993</v>
      </c>
      <c r="G20">
        <v>230.44400847</v>
      </c>
      <c r="H20">
        <v>-20.953220930000011</v>
      </c>
    </row>
    <row r="21" spans="4:8" x14ac:dyDescent="0.25">
      <c r="D21">
        <v>-21.988464449999999</v>
      </c>
      <c r="E21">
        <v>-108.02733633</v>
      </c>
      <c r="F21">
        <v>62.893941390000009</v>
      </c>
      <c r="G21">
        <v>-20.953220930000011</v>
      </c>
      <c r="H21">
        <v>118.49080319999999</v>
      </c>
    </row>
  </sheetData>
  <mergeCells count="4">
    <mergeCell ref="D2:H2"/>
    <mergeCell ref="D9:H9"/>
    <mergeCell ref="D16:H16"/>
    <mergeCell ref="J2:N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4184-A7C5-4D49-A69E-3AE159080192}">
  <dimension ref="A1:AF35"/>
  <sheetViews>
    <sheetView workbookViewId="0">
      <selection activeCell="L42" sqref="L42"/>
    </sheetView>
  </sheetViews>
  <sheetFormatPr defaultRowHeight="15" x14ac:dyDescent="0.25"/>
  <cols>
    <col min="1" max="1" width="21.140625" customWidth="1"/>
  </cols>
  <sheetData>
    <row r="1" spans="1:32" x14ac:dyDescent="0.25">
      <c r="A1" s="5" t="s">
        <v>10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 t="s">
        <v>8</v>
      </c>
      <c r="J1" s="5" t="s">
        <v>9</v>
      </c>
    </row>
    <row r="2" spans="1:32" x14ac:dyDescent="0.25">
      <c r="A2" s="5" t="s">
        <v>11</v>
      </c>
      <c r="B2">
        <v>0</v>
      </c>
      <c r="C2">
        <v>0.5</v>
      </c>
      <c r="D2">
        <v>1</v>
      </c>
      <c r="E2">
        <v>0</v>
      </c>
      <c r="F2">
        <v>1</v>
      </c>
      <c r="G2">
        <v>1</v>
      </c>
      <c r="H2">
        <v>1</v>
      </c>
      <c r="I2" s="6">
        <f>SUM(B2:H2)</f>
        <v>4.5</v>
      </c>
      <c r="J2" s="6">
        <v>2</v>
      </c>
    </row>
    <row r="3" spans="1:32" x14ac:dyDescent="0.25">
      <c r="A3" s="5" t="s">
        <v>12</v>
      </c>
      <c r="B3">
        <v>0.5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6">
        <f t="shared" ref="I3:I8" si="0">SUM(B3:H3)</f>
        <v>2.5</v>
      </c>
      <c r="J3" s="6">
        <v>5</v>
      </c>
    </row>
    <row r="4" spans="1:32" x14ac:dyDescent="0.25">
      <c r="A4" s="5" t="s">
        <v>13</v>
      </c>
      <c r="B4">
        <v>0</v>
      </c>
      <c r="C4">
        <v>1</v>
      </c>
      <c r="D4">
        <v>0</v>
      </c>
      <c r="E4">
        <v>1</v>
      </c>
      <c r="F4">
        <v>0</v>
      </c>
      <c r="G4">
        <v>0</v>
      </c>
      <c r="H4">
        <v>1</v>
      </c>
      <c r="I4" s="6">
        <f t="shared" si="0"/>
        <v>3</v>
      </c>
      <c r="J4" s="6">
        <v>4</v>
      </c>
    </row>
    <row r="5" spans="1:32" x14ac:dyDescent="0.25">
      <c r="A5" s="5" t="s">
        <v>14</v>
      </c>
      <c r="B5">
        <v>1</v>
      </c>
      <c r="C5">
        <v>1</v>
      </c>
      <c r="D5">
        <v>0</v>
      </c>
      <c r="E5">
        <v>0</v>
      </c>
      <c r="F5">
        <v>0</v>
      </c>
      <c r="G5">
        <v>0.5</v>
      </c>
      <c r="H5">
        <v>1</v>
      </c>
      <c r="I5" s="6">
        <f t="shared" si="0"/>
        <v>3.5</v>
      </c>
      <c r="J5" s="6">
        <v>3</v>
      </c>
    </row>
    <row r="6" spans="1:32" x14ac:dyDescent="0.25">
      <c r="A6" s="5" t="s">
        <v>15</v>
      </c>
      <c r="B6">
        <v>0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 s="6">
        <f t="shared" si="0"/>
        <v>5</v>
      </c>
      <c r="J6" s="6">
        <v>1</v>
      </c>
    </row>
    <row r="7" spans="1:32" x14ac:dyDescent="0.25">
      <c r="A7" s="5" t="s">
        <v>16</v>
      </c>
      <c r="B7">
        <v>0</v>
      </c>
      <c r="C7">
        <v>0</v>
      </c>
      <c r="D7">
        <v>1</v>
      </c>
      <c r="E7">
        <v>0.5</v>
      </c>
      <c r="F7">
        <v>0</v>
      </c>
      <c r="G7">
        <v>0</v>
      </c>
      <c r="H7">
        <v>1</v>
      </c>
      <c r="I7" s="6">
        <f t="shared" si="0"/>
        <v>2.5</v>
      </c>
      <c r="J7" s="6">
        <v>6</v>
      </c>
    </row>
    <row r="8" spans="1:32" x14ac:dyDescent="0.25">
      <c r="A8" s="5" t="s">
        <v>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6">
        <f t="shared" si="0"/>
        <v>0</v>
      </c>
      <c r="J8" s="6">
        <v>7</v>
      </c>
    </row>
    <row r="10" spans="1:32" x14ac:dyDescent="0.25">
      <c r="B10" s="5">
        <v>1</v>
      </c>
      <c r="C10" s="5">
        <v>2</v>
      </c>
      <c r="D10" s="5">
        <v>3</v>
      </c>
      <c r="E10" s="5">
        <v>4</v>
      </c>
      <c r="F10" s="5">
        <v>5</v>
      </c>
      <c r="G10" s="5">
        <v>6</v>
      </c>
      <c r="H10" s="5">
        <v>7</v>
      </c>
      <c r="I10" s="5">
        <v>8</v>
      </c>
      <c r="J10" s="5">
        <v>9</v>
      </c>
      <c r="K10" s="5">
        <v>10</v>
      </c>
      <c r="L10" s="5">
        <v>11</v>
      </c>
      <c r="M10" s="5">
        <v>12</v>
      </c>
      <c r="N10" s="5">
        <v>13</v>
      </c>
      <c r="O10" s="5">
        <v>14</v>
      </c>
      <c r="P10" s="5">
        <v>15</v>
      </c>
      <c r="Q10" s="5">
        <v>16</v>
      </c>
      <c r="R10" s="5">
        <v>17</v>
      </c>
      <c r="S10" s="5">
        <v>18</v>
      </c>
      <c r="T10" s="5">
        <v>19</v>
      </c>
      <c r="U10" s="5">
        <v>20</v>
      </c>
      <c r="V10" s="5">
        <v>21</v>
      </c>
      <c r="W10" s="5">
        <v>22</v>
      </c>
      <c r="X10" s="5">
        <v>23</v>
      </c>
      <c r="Y10" s="5">
        <v>24</v>
      </c>
      <c r="Z10" s="5">
        <v>25</v>
      </c>
      <c r="AA10" s="5">
        <v>26</v>
      </c>
      <c r="AB10" s="5">
        <v>27</v>
      </c>
      <c r="AC10" s="5">
        <v>28</v>
      </c>
      <c r="AD10" s="5">
        <v>29</v>
      </c>
      <c r="AE10" s="5">
        <v>30</v>
      </c>
      <c r="AF10" s="5">
        <v>31</v>
      </c>
    </row>
    <row r="11" spans="1:32" x14ac:dyDescent="0.25">
      <c r="A11" s="5" t="s">
        <v>18</v>
      </c>
      <c r="B11">
        <v>1</v>
      </c>
      <c r="C11">
        <f>B19 / $B$27</f>
        <v>1.5</v>
      </c>
      <c r="D11">
        <f t="shared" ref="D11:H11" si="1">C19 / $B$27</f>
        <v>1.3055555555555556</v>
      </c>
      <c r="E11">
        <f t="shared" si="1"/>
        <v>0.91203703703703709</v>
      </c>
      <c r="F11">
        <f t="shared" si="1"/>
        <v>0.64429012345679004</v>
      </c>
      <c r="G11">
        <f t="shared" si="1"/>
        <v>0.47646604938271603</v>
      </c>
      <c r="H11">
        <f t="shared" si="1"/>
        <v>0.3448002400548697</v>
      </c>
      <c r="I11">
        <f t="shared" ref="I11:L11" si="2">H19 / $B$27</f>
        <v>0.24718864311842706</v>
      </c>
      <c r="J11">
        <f t="shared" si="2"/>
        <v>0.17955235006096634</v>
      </c>
      <c r="K11">
        <f t="shared" si="2"/>
        <v>0.13026479465147592</v>
      </c>
      <c r="L11">
        <f t="shared" si="2"/>
        <v>9.3974373375290021E-2</v>
      </c>
      <c r="M11">
        <f t="shared" ref="M11:W11" si="3">L19 / $B$27</f>
        <v>6.8002197349694052E-2</v>
      </c>
      <c r="N11">
        <f t="shared" si="3"/>
        <v>4.9273499341736672E-2</v>
      </c>
      <c r="O11">
        <f t="shared" si="3"/>
        <v>3.5629484959216438E-2</v>
      </c>
      <c r="P11">
        <f t="shared" si="3"/>
        <v>2.5771049590039386E-2</v>
      </c>
      <c r="Q11">
        <f t="shared" si="3"/>
        <v>1.8656255143728703E-2</v>
      </c>
      <c r="R11">
        <f t="shared" si="3"/>
        <v>1.3498644398913391E-2</v>
      </c>
      <c r="S11">
        <f t="shared" si="3"/>
        <v>9.7652073422203854E-3</v>
      </c>
      <c r="T11">
        <f t="shared" si="3"/>
        <v>7.0666618985491701E-3</v>
      </c>
      <c r="U11">
        <f t="shared" si="3"/>
        <v>5.1135081970714522E-3</v>
      </c>
      <c r="V11">
        <f t="shared" si="3"/>
        <v>3.6997195359602651E-3</v>
      </c>
      <c r="W11">
        <f t="shared" si="3"/>
        <v>2.6770515852592293E-3</v>
      </c>
      <c r="X11">
        <f t="shared" ref="X11:AN11" si="4">W19 / $B$27</f>
        <v>1.9371072741804992E-3</v>
      </c>
      <c r="Y11">
        <f t="shared" si="4"/>
        <v>1.4016139033870792E-3</v>
      </c>
      <c r="Z11">
        <f t="shared" si="4"/>
        <v>1.0141654727988593E-3</v>
      </c>
      <c r="AA11">
        <f t="shared" si="4"/>
        <v>7.3383305441460415E-4</v>
      </c>
      <c r="AB11">
        <f t="shared" si="4"/>
        <v>5.3098150279555468E-4</v>
      </c>
      <c r="AC11">
        <f t="shared" si="4"/>
        <v>3.8420280737464922E-4</v>
      </c>
      <c r="AD11">
        <f t="shared" si="4"/>
        <v>2.780002158961049E-4</v>
      </c>
      <c r="AE11">
        <f t="shared" si="4"/>
        <v>2.01153986962749E-4</v>
      </c>
      <c r="AF11">
        <f t="shared" ref="AF11" si="5">AE19 / $B$27</f>
        <v>1.4554959360882567E-4</v>
      </c>
    </row>
    <row r="12" spans="1:32" x14ac:dyDescent="0.25">
      <c r="B12">
        <v>1</v>
      </c>
      <c r="C12">
        <f t="shared" ref="C12:D17" si="6">B20 / $B$27</f>
        <v>0.83333333333333337</v>
      </c>
      <c r="D12">
        <f t="shared" ref="D12:H12" si="7">C20 / $B$27</f>
        <v>0.52777777777777779</v>
      </c>
      <c r="E12">
        <f t="shared" si="7"/>
        <v>0.39351851851851855</v>
      </c>
      <c r="F12">
        <f t="shared" si="7"/>
        <v>0.27700617283950618</v>
      </c>
      <c r="G12">
        <f t="shared" si="7"/>
        <v>0.1997170781893004</v>
      </c>
      <c r="H12">
        <f t="shared" si="7"/>
        <v>0.14752657750342935</v>
      </c>
      <c r="I12">
        <f t="shared" ref="I12:L12" si="8">H20 / $B$27</f>
        <v>0.1057848936899863</v>
      </c>
      <c r="J12">
        <f t="shared" si="8"/>
        <v>7.6092987921048613E-2</v>
      </c>
      <c r="K12">
        <f t="shared" si="8"/>
        <v>5.5458013418940209E-2</v>
      </c>
      <c r="L12">
        <f t="shared" si="8"/>
        <v>4.010749745444462E-2</v>
      </c>
      <c r="M12">
        <f t="shared" ref="M12:W12" si="9">L20 / $B$27</f>
        <v>2.892796627324341E-2</v>
      </c>
      <c r="N12">
        <f t="shared" si="9"/>
        <v>2.0966972326625866E-2</v>
      </c>
      <c r="O12">
        <f t="shared" si="9"/>
        <v>1.5182752214934059E-2</v>
      </c>
      <c r="P12">
        <f t="shared" si="9"/>
        <v>1.09732380472606E-2</v>
      </c>
      <c r="Q12">
        <f t="shared" si="9"/>
        <v>7.9411666290599547E-3</v>
      </c>
      <c r="R12">
        <f t="shared" si="9"/>
        <v>5.7487779104731492E-3</v>
      </c>
      <c r="S12">
        <f t="shared" si="9"/>
        <v>4.1584697445360488E-3</v>
      </c>
      <c r="T12">
        <f t="shared" si="9"/>
        <v>3.0086649564121533E-3</v>
      </c>
      <c r="U12">
        <f t="shared" si="9"/>
        <v>2.1773888019023806E-3</v>
      </c>
      <c r="V12">
        <f t="shared" si="9"/>
        <v>1.5754480833242515E-3</v>
      </c>
      <c r="W12">
        <f t="shared" si="9"/>
        <v>1.1398728168553827E-3</v>
      </c>
      <c r="X12">
        <f t="shared" ref="X12:AN12" si="10">W20 / $B$27</f>
        <v>8.2482278397435626E-4</v>
      </c>
      <c r="Y12">
        <f t="shared" si="10"/>
        <v>5.9682783909837192E-4</v>
      </c>
      <c r="Z12">
        <f t="shared" si="10"/>
        <v>4.3183699542606482E-4</v>
      </c>
      <c r="AA12">
        <f t="shared" si="10"/>
        <v>3.1246840017104869E-4</v>
      </c>
      <c r="AB12">
        <f t="shared" si="10"/>
        <v>2.2609648629402755E-4</v>
      </c>
      <c r="AC12">
        <f t="shared" si="10"/>
        <v>1.6359630350887204E-4</v>
      </c>
      <c r="AD12">
        <f t="shared" si="10"/>
        <v>1.1837393433317601E-4</v>
      </c>
      <c r="AE12">
        <f t="shared" si="10"/>
        <v>8.5652727122019075E-5</v>
      </c>
      <c r="AF12">
        <f t="shared" ref="AF12" si="11">AE20 / $B$27</f>
        <v>6.1976034185026708E-5</v>
      </c>
    </row>
    <row r="13" spans="1:32" x14ac:dyDescent="0.25">
      <c r="B13">
        <v>1</v>
      </c>
      <c r="C13">
        <f t="shared" si="6"/>
        <v>1</v>
      </c>
      <c r="D13">
        <f t="shared" ref="D13:H13" si="12">C21 / $B$27</f>
        <v>0.66666666666666663</v>
      </c>
      <c r="E13">
        <f t="shared" si="12"/>
        <v>0.48148148148148145</v>
      </c>
      <c r="F13">
        <f t="shared" si="12"/>
        <v>0.36419753086419754</v>
      </c>
      <c r="G13">
        <f t="shared" si="12"/>
        <v>0.25823045267489714</v>
      </c>
      <c r="H13">
        <f t="shared" si="12"/>
        <v>0.18432784636488342</v>
      </c>
      <c r="I13">
        <f t="shared" ref="I13:L13" si="13">H21 / $B$27</f>
        <v>0.13565957933241884</v>
      </c>
      <c r="J13">
        <f t="shared" si="13"/>
        <v>9.8017642127724444E-2</v>
      </c>
      <c r="K13">
        <f t="shared" si="13"/>
        <v>7.0399424630391713E-2</v>
      </c>
      <c r="L13">
        <f t="shared" si="13"/>
        <v>5.1146478983556037E-2</v>
      </c>
      <c r="M13">
        <f t="shared" ref="M13:W13" si="14">L21 / $B$27</f>
        <v>3.7071149772505328E-2</v>
      </c>
      <c r="N13">
        <f t="shared" si="14"/>
        <v>2.6751569523945275E-2</v>
      </c>
      <c r="O13">
        <f t="shared" si="14"/>
        <v>1.9364554417258928E-2</v>
      </c>
      <c r="P13">
        <f t="shared" si="14"/>
        <v>1.4027164644459071E-2</v>
      </c>
      <c r="Q13">
        <f t="shared" si="14"/>
        <v>1.0142715238557675E-2</v>
      </c>
      <c r="R13">
        <f t="shared" si="14"/>
        <v>7.3374194522844369E-3</v>
      </c>
      <c r="S13">
        <f t="shared" si="14"/>
        <v>5.3114287315539606E-3</v>
      </c>
      <c r="T13">
        <f t="shared" si="14"/>
        <v>3.8428750066744899E-3</v>
      </c>
      <c r="U13">
        <f t="shared" si="14"/>
        <v>2.7801519505617806E-3</v>
      </c>
      <c r="V13">
        <f t="shared" si="14"/>
        <v>2.0118789987649713E-3</v>
      </c>
      <c r="W13">
        <f t="shared" si="14"/>
        <v>1.4557818138516778E-3</v>
      </c>
      <c r="X13">
        <f t="shared" ref="X13:AN13" si="15">W21 / $B$27</f>
        <v>1.0532961567937414E-3</v>
      </c>
      <c r="Y13">
        <f t="shared" si="15"/>
        <v>7.621515592982675E-4</v>
      </c>
      <c r="Z13">
        <f t="shared" si="15"/>
        <v>5.5148650172804497E-4</v>
      </c>
      <c r="AA13">
        <f t="shared" si="15"/>
        <v>3.9903386067288591E-4</v>
      </c>
      <c r="AB13">
        <f t="shared" si="15"/>
        <v>2.8872987786610315E-4</v>
      </c>
      <c r="AC13">
        <f t="shared" si="15"/>
        <v>2.0891970881168067E-4</v>
      </c>
      <c r="AD13">
        <f t="shared" si="15"/>
        <v>1.5116844213117976E-4</v>
      </c>
      <c r="AE13">
        <f t="shared" si="15"/>
        <v>1.0938123483768345E-4</v>
      </c>
      <c r="AF13">
        <f t="shared" ref="AF13" si="16">AE21 / $B$27</f>
        <v>7.9145707589371172E-5</v>
      </c>
    </row>
    <row r="14" spans="1:32" x14ac:dyDescent="0.25">
      <c r="B14">
        <v>1</v>
      </c>
      <c r="C14">
        <f t="shared" si="6"/>
        <v>1.1666666666666667</v>
      </c>
      <c r="D14">
        <f t="shared" ref="D14:H14" si="17">C22 / $B$27</f>
        <v>0.91666666666666663</v>
      </c>
      <c r="E14">
        <f t="shared" si="17"/>
        <v>0.69907407407407407</v>
      </c>
      <c r="F14">
        <f t="shared" si="17"/>
        <v>0.49768518518518517</v>
      </c>
      <c r="G14">
        <f t="shared" si="17"/>
        <v>0.3532664609053498</v>
      </c>
      <c r="H14">
        <f t="shared" si="17"/>
        <v>0.25945216049382719</v>
      </c>
      <c r="I14">
        <f t="shared" ref="I14:L14" si="18">H22 / $B$27</f>
        <v>0.18826803269318701</v>
      </c>
      <c r="J14">
        <f t="shared" si="18"/>
        <v>0.13510528597012653</v>
      </c>
      <c r="K14">
        <f t="shared" si="18"/>
        <v>9.7981423531727896E-2</v>
      </c>
      <c r="L14">
        <f t="shared" si="18"/>
        <v>7.1105951863071365E-2</v>
      </c>
      <c r="M14">
        <f t="shared" ref="M14:W14" si="19">L22 / $B$27</f>
        <v>5.1326742298592416E-2</v>
      </c>
      <c r="N14">
        <f t="shared" si="19"/>
        <v>3.7126690925150918E-2</v>
      </c>
      <c r="O14">
        <f t="shared" si="19"/>
        <v>2.6898741718443153E-2</v>
      </c>
      <c r="P14">
        <f t="shared" si="19"/>
        <v>1.9454907668412427E-2</v>
      </c>
      <c r="Q14">
        <f t="shared" si="19"/>
        <v>1.4071091727793356E-2</v>
      </c>
      <c r="R14">
        <f t="shared" si="19"/>
        <v>1.0185508284188734E-2</v>
      </c>
      <c r="S14">
        <f t="shared" si="19"/>
        <v>7.3701552754874217E-3</v>
      </c>
      <c r="T14">
        <f t="shared" si="19"/>
        <v>5.3317908952731892E-3</v>
      </c>
      <c r="U14">
        <f t="shared" si="19"/>
        <v>3.8582481943925336E-3</v>
      </c>
      <c r="V14">
        <f t="shared" si="19"/>
        <v>2.7918973582307821E-3</v>
      </c>
      <c r="W14">
        <f t="shared" si="19"/>
        <v>2.0200156535258415E-3</v>
      </c>
      <c r="X14">
        <f t="shared" ref="X14:AN14" si="20">W22 / $B$27</f>
        <v>1.4616318939204463E-3</v>
      </c>
      <c r="Y14">
        <f t="shared" si="20"/>
        <v>1.057631666085763E-3</v>
      </c>
      <c r="Z14">
        <f t="shared" si="20"/>
        <v>7.6526458659259295E-4</v>
      </c>
      <c r="AA14">
        <f t="shared" si="20"/>
        <v>5.5372123342726078E-4</v>
      </c>
      <c r="AB14">
        <f t="shared" si="20"/>
        <v>4.006626401410144E-4</v>
      </c>
      <c r="AC14">
        <f t="shared" si="20"/>
        <v>2.8990902288466718E-4</v>
      </c>
      <c r="AD14">
        <f t="shared" si="20"/>
        <v>2.0976977017987433E-4</v>
      </c>
      <c r="AE14">
        <f t="shared" si="20"/>
        <v>1.5178439564609444E-4</v>
      </c>
      <c r="AF14">
        <f t="shared" ref="AF14" si="21">AE22 / $B$27</f>
        <v>1.0982742287387363E-4</v>
      </c>
    </row>
    <row r="15" spans="1:32" x14ac:dyDescent="0.25">
      <c r="B15">
        <v>1</v>
      </c>
      <c r="C15">
        <f t="shared" si="6"/>
        <v>1.6666666666666667</v>
      </c>
      <c r="D15">
        <f t="shared" ref="D15:H15" si="22">C23 / $B$27</f>
        <v>1.2777777777777779</v>
      </c>
      <c r="E15">
        <f t="shared" si="22"/>
        <v>0.87962962962962965</v>
      </c>
      <c r="F15">
        <f t="shared" si="22"/>
        <v>0.64969135802469136</v>
      </c>
      <c r="G15">
        <f t="shared" si="22"/>
        <v>0.47196502057613166</v>
      </c>
      <c r="H15">
        <f t="shared" si="22"/>
        <v>0.33852023319615915</v>
      </c>
      <c r="I15">
        <f t="shared" ref="I15:L15" si="23">H23 / $B$27</f>
        <v>0.24542038180155465</v>
      </c>
      <c r="J15">
        <f t="shared" si="23"/>
        <v>0.17813238263984152</v>
      </c>
      <c r="K15">
        <f t="shared" si="23"/>
        <v>0.12860459374841235</v>
      </c>
      <c r="L15">
        <f t="shared" si="23"/>
        <v>9.3009652206218582E-2</v>
      </c>
      <c r="M15">
        <f t="shared" ref="M15:W15" si="24">L23 / $B$27</f>
        <v>6.738554681105241E-2</v>
      </c>
      <c r="N15">
        <f t="shared" si="24"/>
        <v>4.8741892216457243E-2</v>
      </c>
      <c r="O15">
        <f t="shared" si="24"/>
        <v>3.5252246583218634E-2</v>
      </c>
      <c r="P15">
        <f t="shared" si="24"/>
        <v>2.5517006670936569E-2</v>
      </c>
      <c r="Q15">
        <f t="shared" si="24"/>
        <v>1.8464428484097423E-2</v>
      </c>
      <c r="R15">
        <f t="shared" si="24"/>
        <v>1.3357726584988695E-2</v>
      </c>
      <c r="S15">
        <f t="shared" si="24"/>
        <v>9.6659308936992566E-3</v>
      </c>
      <c r="T15">
        <f t="shared" si="24"/>
        <v>6.994481649901233E-3</v>
      </c>
      <c r="U15">
        <f t="shared" si="24"/>
        <v>5.0607221049307968E-3</v>
      </c>
      <c r="V15">
        <f t="shared" si="24"/>
        <v>3.6617930327645745E-3</v>
      </c>
      <c r="W15">
        <f t="shared" si="24"/>
        <v>2.649661040968674E-3</v>
      </c>
      <c r="X15">
        <f t="shared" ref="X15:AN15" si="25">W23 / $B$27</f>
        <v>1.9172042811754521E-3</v>
      </c>
      <c r="Y15">
        <f t="shared" si="25"/>
        <v>1.38722690496447E-3</v>
      </c>
      <c r="Z15">
        <f t="shared" si="25"/>
        <v>1.0037716996890191E-3</v>
      </c>
      <c r="AA15">
        <f t="shared" si="25"/>
        <v>7.2630351595347317E-4</v>
      </c>
      <c r="AB15">
        <f t="shared" si="25"/>
        <v>5.2553214198199202E-4</v>
      </c>
      <c r="AC15">
        <f t="shared" si="25"/>
        <v>3.8026238780999459E-4</v>
      </c>
      <c r="AD15">
        <f t="shared" si="25"/>
        <v>2.7514847817247445E-4</v>
      </c>
      <c r="AE15">
        <f t="shared" si="25"/>
        <v>1.9909007335407831E-4</v>
      </c>
      <c r="AF15">
        <f t="shared" ref="AF15" si="26">AE23 / $B$27</f>
        <v>1.4405648889316756E-4</v>
      </c>
    </row>
    <row r="16" spans="1:32" x14ac:dyDescent="0.25">
      <c r="B16">
        <v>1</v>
      </c>
      <c r="C16">
        <f t="shared" si="6"/>
        <v>0.83333333333333337</v>
      </c>
      <c r="D16">
        <f t="shared" ref="D16:H16" si="27">C24 / $B$27</f>
        <v>0.52777777777777779</v>
      </c>
      <c r="E16">
        <f t="shared" si="27"/>
        <v>0.375</v>
      </c>
      <c r="F16">
        <f t="shared" si="27"/>
        <v>0.27700617283950618</v>
      </c>
      <c r="G16">
        <f t="shared" si="27"/>
        <v>0.20434670781893005</v>
      </c>
      <c r="H16">
        <f t="shared" si="27"/>
        <v>0.14495456104252402</v>
      </c>
      <c r="I16">
        <f t="shared" ref="I16:L16" si="28">H24 / $B$27</f>
        <v>0.10468464220393232</v>
      </c>
      <c r="J16">
        <f t="shared" si="28"/>
        <v>7.659786522633745E-2</v>
      </c>
      <c r="K16">
        <f t="shared" si="28"/>
        <v>5.51900950375959E-2</v>
      </c>
      <c r="L16">
        <f t="shared" si="28"/>
        <v>3.9796712132085223E-2</v>
      </c>
      <c r="M16">
        <f t="shared" ref="M16:W16" si="29">L24 / $B$27</f>
        <v>2.8899818305030574E-2</v>
      </c>
      <c r="N16">
        <f t="shared" si="29"/>
        <v>2.0911506973933847E-2</v>
      </c>
      <c r="O16">
        <f t="shared" si="29"/>
        <v>1.510497166217358E-2</v>
      </c>
      <c r="P16">
        <f t="shared" si="29"/>
        <v>1.0937975092160169E-2</v>
      </c>
      <c r="Q16">
        <f t="shared" si="29"/>
        <v>7.9182061595550954E-3</v>
      </c>
      <c r="R16">
        <f t="shared" si="29"/>
        <v>5.7260870341514511E-3</v>
      </c>
      <c r="S16">
        <f t="shared" si="29"/>
        <v>4.1433911981262677E-3</v>
      </c>
      <c r="T16">
        <f t="shared" si="29"/>
        <v>2.9988354564325572E-3</v>
      </c>
      <c r="U16">
        <f t="shared" si="29"/>
        <v>2.1695901514370282E-3</v>
      </c>
      <c r="V16">
        <f t="shared" si="29"/>
        <v>1.5697586825860158E-3</v>
      </c>
      <c r="W16">
        <f t="shared" si="29"/>
        <v>1.1359425592934542E-3</v>
      </c>
      <c r="X16">
        <f t="shared" ref="X16:AN16" si="30">W24 / $B$27</f>
        <v>8.2192988020486624E-4</v>
      </c>
      <c r="Y16">
        <f t="shared" si="30"/>
        <v>5.9470403458465485E-4</v>
      </c>
      <c r="Z16">
        <f t="shared" si="30"/>
        <v>4.3032246411371633E-4</v>
      </c>
      <c r="AA16">
        <f t="shared" si="30"/>
        <v>3.1137293167478048E-4</v>
      </c>
      <c r="AB16">
        <f t="shared" si="30"/>
        <v>2.2529815912883876E-4</v>
      </c>
      <c r="AC16">
        <f t="shared" si="30"/>
        <v>1.6302039931220344E-4</v>
      </c>
      <c r="AD16">
        <f t="shared" si="30"/>
        <v>1.1795807341800475E-4</v>
      </c>
      <c r="AE16">
        <f t="shared" si="30"/>
        <v>8.5351109073705637E-5</v>
      </c>
      <c r="AF16">
        <f t="shared" ref="AF16" si="31">AE24 / $B$27</f>
        <v>6.1757810886910216E-5</v>
      </c>
    </row>
    <row r="17" spans="1:32" x14ac:dyDescent="0.25">
      <c r="B17">
        <v>1</v>
      </c>
      <c r="C17">
        <f>B25 / $B$27</f>
        <v>0</v>
      </c>
      <c r="D17">
        <f t="shared" ref="D17:H17" si="32">C25 / $B$27</f>
        <v>0</v>
      </c>
      <c r="E17">
        <f t="shared" si="32"/>
        <v>0</v>
      </c>
      <c r="F17">
        <f t="shared" si="32"/>
        <v>0</v>
      </c>
      <c r="G17">
        <f t="shared" si="32"/>
        <v>0</v>
      </c>
      <c r="H17">
        <f t="shared" si="32"/>
        <v>0</v>
      </c>
      <c r="I17">
        <f t="shared" ref="I17:L17" si="33">H25 / $B$27</f>
        <v>0</v>
      </c>
      <c r="J17">
        <f t="shared" si="33"/>
        <v>0</v>
      </c>
      <c r="K17">
        <f t="shared" si="33"/>
        <v>0</v>
      </c>
      <c r="L17">
        <f t="shared" si="33"/>
        <v>0</v>
      </c>
      <c r="M17">
        <f t="shared" ref="M17:W17" si="34">L25 / $B$27</f>
        <v>0</v>
      </c>
      <c r="N17">
        <f t="shared" si="34"/>
        <v>0</v>
      </c>
      <c r="O17">
        <f t="shared" si="34"/>
        <v>0</v>
      </c>
      <c r="P17">
        <f t="shared" si="34"/>
        <v>0</v>
      </c>
      <c r="Q17">
        <f t="shared" si="34"/>
        <v>0</v>
      </c>
      <c r="R17">
        <f t="shared" si="34"/>
        <v>0</v>
      </c>
      <c r="S17">
        <f t="shared" si="34"/>
        <v>0</v>
      </c>
      <c r="T17">
        <f t="shared" si="34"/>
        <v>0</v>
      </c>
      <c r="U17">
        <f t="shared" si="34"/>
        <v>0</v>
      </c>
      <c r="V17">
        <f t="shared" si="34"/>
        <v>0</v>
      </c>
      <c r="W17">
        <f t="shared" si="34"/>
        <v>0</v>
      </c>
      <c r="X17">
        <f t="shared" ref="X17:AN17" si="35">W25 / $B$27</f>
        <v>0</v>
      </c>
      <c r="Y17">
        <f t="shared" si="35"/>
        <v>0</v>
      </c>
      <c r="Z17">
        <f t="shared" si="35"/>
        <v>0</v>
      </c>
      <c r="AA17">
        <f t="shared" si="35"/>
        <v>0</v>
      </c>
      <c r="AB17">
        <f t="shared" si="35"/>
        <v>0</v>
      </c>
      <c r="AC17">
        <f t="shared" si="35"/>
        <v>0</v>
      </c>
      <c r="AD17">
        <f t="shared" si="35"/>
        <v>0</v>
      </c>
      <c r="AE17">
        <f t="shared" si="35"/>
        <v>0</v>
      </c>
      <c r="AF17">
        <f t="shared" ref="AF17" si="36">AE25 / $B$27</f>
        <v>0</v>
      </c>
    </row>
    <row r="19" spans="1:32" x14ac:dyDescent="0.25">
      <c r="A19" s="5" t="s">
        <v>19</v>
      </c>
      <c r="B19" cm="1">
        <f t="array" ref="B19:B25">MMULT($B$2:$H$8,B11:B17)</f>
        <v>4.5</v>
      </c>
      <c r="C19" cm="1">
        <f t="array" ref="C19:C25">MMULT($B$2:$H$8,C11:C17)</f>
        <v>3.916666666666667</v>
      </c>
      <c r="D19" cm="1">
        <f t="array" ref="D19:D25">MMULT($B$2:$H$8,D11:D17)</f>
        <v>2.7361111111111112</v>
      </c>
      <c r="E19" cm="1">
        <f t="array" ref="E19:E25">MMULT($B$2:$H$8,E11:E17)</f>
        <v>1.9328703703703702</v>
      </c>
      <c r="F19" cm="1">
        <f t="array" ref="F19:F25">MMULT($B$2:$H$8,F11:F17)</f>
        <v>1.4293981481481481</v>
      </c>
      <c r="G19" cm="1">
        <f t="array" ref="G19:G25">MMULT($B$2:$H$8,G11:G17)</f>
        <v>1.034400720164609</v>
      </c>
      <c r="H19" cm="1">
        <f t="array" ref="H19:H25">MMULT($B$2:$H$8,H11:H17)</f>
        <v>0.74156592935528121</v>
      </c>
      <c r="I19" cm="1">
        <f t="array" ref="I19:I25">MMULT($B$2:$H$8,I11:I17)</f>
        <v>0.538657050182899</v>
      </c>
      <c r="J19" cm="1">
        <f t="array" ref="J19:J25">MMULT($B$2:$H$8,J11:J17)</f>
        <v>0.39079438395442773</v>
      </c>
      <c r="K19" cm="1">
        <f t="array" ref="K19:K25">MMULT($B$2:$H$8,K11:K17)</f>
        <v>0.28192312012587006</v>
      </c>
      <c r="L19" cm="1">
        <f t="array" ref="L19:L25">MMULT($B$2:$H$8,L11:L17)</f>
        <v>0.20400659204908214</v>
      </c>
      <c r="M19" cm="1">
        <f t="array" ref="M19:M25">MMULT($B$2:$H$8,M11:M17)</f>
        <v>0.14782049802521002</v>
      </c>
      <c r="N19" cm="1">
        <f t="array" ref="N19:N25">MMULT($B$2:$H$8,N11:N17)</f>
        <v>0.10688845487764931</v>
      </c>
      <c r="O19" cm="1">
        <f t="array" ref="O19:O25">MMULT($B$2:$H$8,O11:O17)</f>
        <v>7.7313148770118162E-2</v>
      </c>
      <c r="P19" cm="1">
        <f t="array" ref="P19:P25">MMULT($B$2:$H$8,P11:P17)</f>
        <v>5.5968765431186111E-2</v>
      </c>
      <c r="Q19" cm="1">
        <f t="array" ref="Q19:Q25">MMULT($B$2:$H$8,Q11:Q17)</f>
        <v>4.0495933196740171E-2</v>
      </c>
      <c r="R19" cm="1">
        <f t="array" ref="R19:R25">MMULT($B$2:$H$8,R11:R17)</f>
        <v>2.9295622026661156E-2</v>
      </c>
      <c r="S19" cm="1">
        <f t="array" ref="S19:S25">MMULT($B$2:$H$8,S11:S17)</f>
        <v>2.1199985695647509E-2</v>
      </c>
      <c r="T19" cm="1">
        <f t="array" ref="T19:T25">MMULT($B$2:$H$8,T11:T17)</f>
        <v>1.5340524591214356E-2</v>
      </c>
      <c r="U19" cm="1">
        <f t="array" ref="U19:U25">MMULT($B$2:$H$8,U11:U17)</f>
        <v>1.1099158607880796E-2</v>
      </c>
      <c r="V19" cm="1">
        <f t="array" ref="V19:V25">MMULT($B$2:$H$8,V11:V17)</f>
        <v>8.0311547557776874E-3</v>
      </c>
      <c r="W19" cm="1">
        <f t="array" ref="W19:W25">MMULT($B$2:$H$8,W11:W17)</f>
        <v>5.811321822541498E-3</v>
      </c>
      <c r="X19" cm="1">
        <f t="array" ref="X19:X25">MMULT($B$2:$H$8,X11:X17)</f>
        <v>4.2048417101612379E-3</v>
      </c>
      <c r="Y19" cm="1">
        <f t="array" ref="Y19:Y25">MMULT($B$2:$H$8,Y11:Y17)</f>
        <v>3.0424964183965782E-3</v>
      </c>
      <c r="Z19" cm="1">
        <f t="array" ref="Z19:Z25">MMULT($B$2:$H$8,Z11:Z17)</f>
        <v>2.2014991632438126E-3</v>
      </c>
      <c r="AA19" cm="1">
        <f t="array" ref="AA19:AA25">MMULT($B$2:$H$8,AA11:AA17)</f>
        <v>1.5929445083866641E-3</v>
      </c>
      <c r="AB19" cm="1">
        <f t="array" ref="AB19:AB25">MMULT($B$2:$H$8,AB11:AB17)</f>
        <v>1.1526084221239476E-3</v>
      </c>
      <c r="AC19" cm="1">
        <f t="array" ref="AC19:AC25">MMULT($B$2:$H$8,AC11:AC17)</f>
        <v>8.3400064768831476E-4</v>
      </c>
      <c r="AD19" cm="1">
        <f t="array" ref="AD19:AD25">MMULT($B$2:$H$8,AD11:AD17)</f>
        <v>6.0346196088824702E-4</v>
      </c>
      <c r="AE19" cm="1">
        <f t="array" ref="AE19:AE25">MMULT($B$2:$H$8,AE11:AE17)</f>
        <v>4.3664878082647697E-4</v>
      </c>
      <c r="AF19" cm="1">
        <f t="array" ref="AF19:AF25">MMULT($B$2:$H$8,AF11:AF17)</f>
        <v>3.1594802446196227E-4</v>
      </c>
    </row>
    <row r="20" spans="1:32" x14ac:dyDescent="0.25">
      <c r="B20">
        <v>2.5</v>
      </c>
      <c r="C20">
        <v>1.5833333333333335</v>
      </c>
      <c r="D20">
        <v>1.1805555555555556</v>
      </c>
      <c r="E20">
        <v>0.8310185185185186</v>
      </c>
      <c r="F20">
        <v>0.5991512345679012</v>
      </c>
      <c r="G20">
        <v>0.44257973251028804</v>
      </c>
      <c r="H20">
        <v>0.3173546810699589</v>
      </c>
      <c r="I20">
        <v>0.22827896376314585</v>
      </c>
      <c r="J20">
        <v>0.16637404025682062</v>
      </c>
      <c r="K20">
        <v>0.12032249236333387</v>
      </c>
      <c r="L20">
        <v>8.6783898819730226E-2</v>
      </c>
      <c r="M20">
        <v>6.2900916979877597E-2</v>
      </c>
      <c r="N20">
        <v>4.5548256644802179E-2</v>
      </c>
      <c r="O20">
        <v>3.2919714141781797E-2</v>
      </c>
      <c r="P20">
        <v>2.3823499887179862E-2</v>
      </c>
      <c r="Q20">
        <v>1.7246333731419448E-2</v>
      </c>
      <c r="R20">
        <v>1.2475409233608147E-2</v>
      </c>
      <c r="S20">
        <v>9.0259948692364596E-3</v>
      </c>
      <c r="T20">
        <v>6.5321664057071422E-3</v>
      </c>
      <c r="U20">
        <v>4.7263442499727547E-3</v>
      </c>
      <c r="V20">
        <v>3.4196184505661483E-3</v>
      </c>
      <c r="W20">
        <v>2.4744683519230689E-3</v>
      </c>
      <c r="X20">
        <v>1.7904835172951159E-3</v>
      </c>
      <c r="Y20">
        <v>1.2955109862781945E-3</v>
      </c>
      <c r="Z20">
        <v>9.37405200513146E-4</v>
      </c>
      <c r="AA20">
        <v>6.7828945888208261E-4</v>
      </c>
      <c r="AB20">
        <v>4.9078891052661616E-4</v>
      </c>
      <c r="AC20">
        <v>3.5512180299952805E-4</v>
      </c>
      <c r="AD20">
        <v>2.5695818136605721E-4</v>
      </c>
      <c r="AE20">
        <v>1.8592810255508012E-4</v>
      </c>
      <c r="AF20">
        <v>1.3453260769132305E-4</v>
      </c>
    </row>
    <row r="21" spans="1:32" x14ac:dyDescent="0.25">
      <c r="B21">
        <v>3</v>
      </c>
      <c r="C21">
        <v>2</v>
      </c>
      <c r="D21">
        <v>1.4444444444444444</v>
      </c>
      <c r="E21">
        <v>1.0925925925925926</v>
      </c>
      <c r="F21">
        <v>0.77469135802469136</v>
      </c>
      <c r="G21">
        <v>0.55298353909465026</v>
      </c>
      <c r="H21">
        <v>0.40697873799725653</v>
      </c>
      <c r="I21">
        <v>0.29405292638317332</v>
      </c>
      <c r="J21">
        <v>0.21119827389117513</v>
      </c>
      <c r="K21">
        <v>0.15343943695066811</v>
      </c>
      <c r="L21">
        <v>0.11121344931751598</v>
      </c>
      <c r="M21">
        <v>8.0254708571835823E-2</v>
      </c>
      <c r="N21">
        <v>5.8093663251776784E-2</v>
      </c>
      <c r="O21">
        <v>4.2081493933377213E-2</v>
      </c>
      <c r="P21">
        <v>3.0428145715673025E-2</v>
      </c>
      <c r="Q21">
        <v>2.2012258356853311E-2</v>
      </c>
      <c r="R21">
        <v>1.5934286194661883E-2</v>
      </c>
      <c r="S21">
        <v>1.152862502002347E-2</v>
      </c>
      <c r="T21">
        <v>8.3404558516853421E-3</v>
      </c>
      <c r="U21">
        <v>6.0356369962949142E-3</v>
      </c>
      <c r="V21">
        <v>4.3673454415550338E-3</v>
      </c>
      <c r="W21">
        <v>3.159888470381224E-3</v>
      </c>
      <c r="X21">
        <v>2.2864546778948026E-3</v>
      </c>
      <c r="Y21">
        <v>1.654459505184135E-3</v>
      </c>
      <c r="Z21">
        <v>1.1971015820186578E-3</v>
      </c>
      <c r="AA21">
        <v>8.6618963359830952E-4</v>
      </c>
      <c r="AB21">
        <v>6.2675912643504197E-4</v>
      </c>
      <c r="AC21">
        <v>4.5350532639353925E-4</v>
      </c>
      <c r="AD21">
        <v>3.2814370451305036E-4</v>
      </c>
      <c r="AE21">
        <v>2.374371227681135E-4</v>
      </c>
      <c r="AF21">
        <v>1.7180345705890032E-4</v>
      </c>
    </row>
    <row r="22" spans="1:32" x14ac:dyDescent="0.25">
      <c r="B22">
        <v>3.5</v>
      </c>
      <c r="C22">
        <v>2.75</v>
      </c>
      <c r="D22">
        <v>2.0972222222222223</v>
      </c>
      <c r="E22">
        <v>1.4930555555555556</v>
      </c>
      <c r="F22">
        <v>1.0597993827160495</v>
      </c>
      <c r="G22">
        <v>0.77835648148148151</v>
      </c>
      <c r="H22">
        <v>0.564804098079561</v>
      </c>
      <c r="I22">
        <v>0.40531585791037955</v>
      </c>
      <c r="J22">
        <v>0.29394427059518369</v>
      </c>
      <c r="K22">
        <v>0.21331785558921409</v>
      </c>
      <c r="L22">
        <v>0.15398022689577726</v>
      </c>
      <c r="M22">
        <v>0.11138007277545275</v>
      </c>
      <c r="N22">
        <v>8.0696225155329454E-2</v>
      </c>
      <c r="O22">
        <v>5.8364723005237283E-2</v>
      </c>
      <c r="P22">
        <v>4.221327518338007E-2</v>
      </c>
      <c r="Q22">
        <v>3.0556524852566203E-2</v>
      </c>
      <c r="R22">
        <v>2.2110465826462266E-2</v>
      </c>
      <c r="S22">
        <v>1.5995372685819569E-2</v>
      </c>
      <c r="T22">
        <v>1.1574744583177601E-2</v>
      </c>
      <c r="U22">
        <v>8.3756920746923466E-3</v>
      </c>
      <c r="V22">
        <v>6.060046960577525E-3</v>
      </c>
      <c r="W22">
        <v>4.384895681761339E-3</v>
      </c>
      <c r="X22">
        <v>3.1728949982572888E-3</v>
      </c>
      <c r="Y22">
        <v>2.2957937597777789E-3</v>
      </c>
      <c r="Z22">
        <v>1.6611637002817824E-3</v>
      </c>
      <c r="AA22">
        <v>1.2019879204230432E-3</v>
      </c>
      <c r="AB22">
        <v>8.6972706865400158E-4</v>
      </c>
      <c r="AC22">
        <v>6.2930931053962298E-4</v>
      </c>
      <c r="AD22">
        <v>4.553531869382833E-4</v>
      </c>
      <c r="AE22">
        <v>3.2948226862162091E-4</v>
      </c>
      <c r="AF22">
        <v>2.3840453323730748E-4</v>
      </c>
    </row>
    <row r="23" spans="1:32" x14ac:dyDescent="0.25">
      <c r="B23">
        <v>5</v>
      </c>
      <c r="C23">
        <v>3.8333333333333335</v>
      </c>
      <c r="D23">
        <v>2.6388888888888888</v>
      </c>
      <c r="E23">
        <v>1.949074074074074</v>
      </c>
      <c r="F23">
        <v>1.415895061728395</v>
      </c>
      <c r="G23">
        <v>1.0155606995884774</v>
      </c>
      <c r="H23">
        <v>0.73626114540466392</v>
      </c>
      <c r="I23">
        <v>0.53439714791952453</v>
      </c>
      <c r="J23">
        <v>0.38581378124523702</v>
      </c>
      <c r="K23">
        <v>0.27902895661865573</v>
      </c>
      <c r="L23">
        <v>0.20215664043315723</v>
      </c>
      <c r="M23">
        <v>0.14622567664937172</v>
      </c>
      <c r="N23">
        <v>0.10575673974965591</v>
      </c>
      <c r="O23">
        <v>7.6551020012809709E-2</v>
      </c>
      <c r="P23">
        <v>5.5393285452292274E-2</v>
      </c>
      <c r="Q23">
        <v>4.0073179754966083E-2</v>
      </c>
      <c r="R23">
        <v>2.899779268109777E-2</v>
      </c>
      <c r="S23">
        <v>2.0983444949703698E-2</v>
      </c>
      <c r="T23">
        <v>1.518216631479239E-2</v>
      </c>
      <c r="U23">
        <v>1.0985379098293724E-2</v>
      </c>
      <c r="V23">
        <v>7.9489831229060219E-3</v>
      </c>
      <c r="W23">
        <v>5.7516128435263561E-3</v>
      </c>
      <c r="X23">
        <v>4.1616807148934102E-3</v>
      </c>
      <c r="Y23">
        <v>3.0113150990670572E-3</v>
      </c>
      <c r="Z23">
        <v>2.1789105478604194E-3</v>
      </c>
      <c r="AA23">
        <v>1.576596425945976E-3</v>
      </c>
      <c r="AB23">
        <v>1.1407871634299838E-3</v>
      </c>
      <c r="AC23">
        <v>8.2544543451742341E-4</v>
      </c>
      <c r="AD23">
        <v>5.9727022006223493E-4</v>
      </c>
      <c r="AE23">
        <v>4.3216946667950265E-4</v>
      </c>
      <c r="AF23">
        <v>3.1270697553518171E-4</v>
      </c>
    </row>
    <row r="24" spans="1:32" x14ac:dyDescent="0.25">
      <c r="B24">
        <v>2.5</v>
      </c>
      <c r="C24">
        <v>1.5833333333333335</v>
      </c>
      <c r="D24">
        <v>1.125</v>
      </c>
      <c r="E24">
        <v>0.83101851851851849</v>
      </c>
      <c r="F24">
        <v>0.61304012345679015</v>
      </c>
      <c r="G24">
        <v>0.43486368312757206</v>
      </c>
      <c r="H24">
        <v>0.31405392661179699</v>
      </c>
      <c r="I24">
        <v>0.22979359567901236</v>
      </c>
      <c r="J24">
        <v>0.16557028511278771</v>
      </c>
      <c r="K24">
        <v>0.11939013639625566</v>
      </c>
      <c r="L24">
        <v>8.669945491509172E-2</v>
      </c>
      <c r="M24">
        <v>6.273452092180154E-2</v>
      </c>
      <c r="N24">
        <v>4.5314914986520738E-2</v>
      </c>
      <c r="O24">
        <v>3.2813925276480506E-2</v>
      </c>
      <c r="P24">
        <v>2.3754618478665286E-2</v>
      </c>
      <c r="Q24">
        <v>1.7178261102454354E-2</v>
      </c>
      <c r="R24">
        <v>1.2430173594378804E-2</v>
      </c>
      <c r="S24">
        <v>8.9965063692976719E-3</v>
      </c>
      <c r="T24">
        <v>6.5087704543110841E-3</v>
      </c>
      <c r="U24">
        <v>4.7092760477580476E-3</v>
      </c>
      <c r="V24">
        <v>3.4078276778803625E-3</v>
      </c>
      <c r="W24">
        <v>2.4657896406145986E-3</v>
      </c>
      <c r="X24">
        <v>1.7841121037539646E-3</v>
      </c>
      <c r="Y24">
        <v>1.290967392341149E-3</v>
      </c>
      <c r="Z24">
        <v>9.3411879502434145E-4</v>
      </c>
      <c r="AA24">
        <v>6.7589447738651629E-4</v>
      </c>
      <c r="AB24">
        <v>4.890611979366103E-4</v>
      </c>
      <c r="AC24">
        <v>3.5387422025401425E-4</v>
      </c>
      <c r="AD24">
        <v>2.5605332722111691E-4</v>
      </c>
      <c r="AE24">
        <v>1.8527343266073066E-4</v>
      </c>
      <c r="AF24">
        <v>1.3405941902630799E-4</v>
      </c>
    </row>
    <row r="25" spans="1:32" x14ac:dyDescent="0.2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7" spans="1:32" x14ac:dyDescent="0.25">
      <c r="A27" s="5" t="s">
        <v>20</v>
      </c>
      <c r="B27">
        <f>AVERAGE(_xlfn.ANCHORARRAY(B19))</f>
        <v>3</v>
      </c>
      <c r="C27">
        <f>AVERAGE(_xlfn.ANCHORARRAY(C19))</f>
        <v>2.2380952380952381</v>
      </c>
      <c r="D27">
        <f t="shared" ref="D27:H27" si="37">AVERAGE(_xlfn.ANCHORARRAY(D19))</f>
        <v>1.6031746031746033</v>
      </c>
      <c r="E27">
        <f t="shared" si="37"/>
        <v>1.1613756613756614</v>
      </c>
      <c r="F27">
        <f t="shared" si="37"/>
        <v>0.84171075837742504</v>
      </c>
      <c r="G27">
        <f t="shared" si="37"/>
        <v>0.60839212228101125</v>
      </c>
      <c r="H27">
        <f t="shared" si="37"/>
        <v>0.44014550264550267</v>
      </c>
      <c r="I27">
        <f t="shared" ref="I27:L27" si="38">AVERAGE(_xlfn.ANCHORARRAY(I19))</f>
        <v>0.31864222026259059</v>
      </c>
      <c r="J27">
        <f t="shared" si="38"/>
        <v>0.23052786215080459</v>
      </c>
      <c r="K27">
        <f t="shared" si="38"/>
        <v>0.16677457114914254</v>
      </c>
      <c r="L27">
        <f t="shared" si="38"/>
        <v>0.12069146606147922</v>
      </c>
      <c r="M27">
        <f t="shared" ref="M27:W27" si="39">AVERAGE(_xlfn.ANCHORARRAY(M19))</f>
        <v>8.7330913417649911E-2</v>
      </c>
      <c r="N27">
        <f t="shared" si="39"/>
        <v>6.3185464952247763E-2</v>
      </c>
      <c r="O27">
        <f t="shared" si="39"/>
        <v>4.57205750199721E-2</v>
      </c>
      <c r="P27">
        <f t="shared" si="39"/>
        <v>3.3083084306910947E-2</v>
      </c>
      <c r="Q27">
        <f t="shared" si="39"/>
        <v>2.3937498713571367E-2</v>
      </c>
      <c r="R27">
        <f t="shared" si="39"/>
        <v>1.732053565098143E-2</v>
      </c>
      <c r="S27">
        <f t="shared" si="39"/>
        <v>1.2532847084246913E-2</v>
      </c>
      <c r="T27">
        <f t="shared" si="39"/>
        <v>9.0684040286982733E-3</v>
      </c>
      <c r="U27">
        <f t="shared" si="39"/>
        <v>6.5616410106989409E-3</v>
      </c>
      <c r="V27">
        <f t="shared" si="39"/>
        <v>4.747853772751825E-3</v>
      </c>
      <c r="W27">
        <f t="shared" si="39"/>
        <v>3.4354252586782977E-3</v>
      </c>
      <c r="X27">
        <f t="shared" ref="X27:AN27" si="40">AVERAGE(_xlfn.ANCHORARRAY(X19))</f>
        <v>2.4857811031794028E-3</v>
      </c>
      <c r="Y27">
        <f t="shared" si="40"/>
        <v>1.7986490230064132E-3</v>
      </c>
      <c r="Z27">
        <f t="shared" si="40"/>
        <v>1.3014569984203083E-3</v>
      </c>
      <c r="AA27">
        <f t="shared" si="40"/>
        <v>9.4170034637465591E-4</v>
      </c>
      <c r="AB27">
        <f t="shared" si="40"/>
        <v>6.8139026987231442E-4</v>
      </c>
      <c r="AC27">
        <f t="shared" si="40"/>
        <v>4.9303667748463466E-4</v>
      </c>
      <c r="AD27">
        <f t="shared" si="40"/>
        <v>3.5674865442699859E-4</v>
      </c>
      <c r="AE27">
        <f t="shared" si="40"/>
        <v>2.5813416773021782E-4</v>
      </c>
      <c r="AF27">
        <f t="shared" ref="AF27" si="41">AVERAGE(_xlfn.ANCHORARRAY(AF19))</f>
        <v>1.8677928814442611E-4</v>
      </c>
    </row>
    <row r="29" spans="1:32" x14ac:dyDescent="0.25">
      <c r="A29" s="5" t="s">
        <v>21</v>
      </c>
      <c r="B29">
        <f>B19 / B11</f>
        <v>4.5</v>
      </c>
      <c r="C29">
        <f t="shared" ref="C29:H29" si="42">C19 / C11</f>
        <v>2.6111111111111112</v>
      </c>
      <c r="D29">
        <f t="shared" si="42"/>
        <v>2.0957446808510638</v>
      </c>
      <c r="E29">
        <f t="shared" si="42"/>
        <v>2.1192893401015227</v>
      </c>
      <c r="F29">
        <f t="shared" si="42"/>
        <v>2.2185628742514973</v>
      </c>
      <c r="G29">
        <f t="shared" si="42"/>
        <v>2.1709851551956816</v>
      </c>
      <c r="H29">
        <f t="shared" si="42"/>
        <v>2.150711754833095</v>
      </c>
      <c r="I29">
        <f t="shared" ref="I29:L29" si="43">I19 / I11</f>
        <v>2.1791334884460314</v>
      </c>
      <c r="J29">
        <f t="shared" si="43"/>
        <v>2.1764927266155798</v>
      </c>
      <c r="K29">
        <f t="shared" si="43"/>
        <v>2.1642311023493086</v>
      </c>
      <c r="L29">
        <f t="shared" si="43"/>
        <v>2.1708747259678391</v>
      </c>
      <c r="M29">
        <f t="shared" ref="M29:W29" si="44">M19 / M11</f>
        <v>2.1737606104852594</v>
      </c>
      <c r="N29">
        <f t="shared" si="44"/>
        <v>2.1692888937382699</v>
      </c>
      <c r="O29">
        <f t="shared" si="44"/>
        <v>2.169920470605041</v>
      </c>
      <c r="P29">
        <f t="shared" si="44"/>
        <v>2.1717689547583761</v>
      </c>
      <c r="Q29">
        <f t="shared" si="44"/>
        <v>2.1706356867848084</v>
      </c>
      <c r="R29">
        <f t="shared" si="44"/>
        <v>2.1702640028816069</v>
      </c>
      <c r="S29">
        <f t="shared" si="44"/>
        <v>2.170971383678487</v>
      </c>
      <c r="T29">
        <f t="shared" si="44"/>
        <v>2.1708304163191765</v>
      </c>
      <c r="U29">
        <f t="shared" si="44"/>
        <v>2.1705565299059018</v>
      </c>
      <c r="V29">
        <f t="shared" si="44"/>
        <v>2.1707469114123525</v>
      </c>
      <c r="W29">
        <f t="shared" si="44"/>
        <v>2.170791872125529</v>
      </c>
      <c r="X29">
        <f t="shared" ref="X29:AN29" si="45">X19 / X11</f>
        <v>2.1706808735928744</v>
      </c>
      <c r="Y29">
        <f t="shared" si="45"/>
        <v>2.1707093594350155</v>
      </c>
      <c r="Z29">
        <f t="shared" si="45"/>
        <v>2.1707494706639836</v>
      </c>
      <c r="AA29">
        <f t="shared" si="45"/>
        <v>2.1707178476137101</v>
      </c>
      <c r="AB29">
        <f t="shared" si="45"/>
        <v>2.1707129458476442</v>
      </c>
      <c r="AC29">
        <f t="shared" si="45"/>
        <v>2.1707302280981313</v>
      </c>
      <c r="AD29">
        <f t="shared" si="45"/>
        <v>2.1707247922202142</v>
      </c>
      <c r="AE29">
        <f t="shared" si="45"/>
        <v>2.170718997020618</v>
      </c>
      <c r="AF29">
        <f t="shared" ref="AF29" si="46">AF19 / AF11</f>
        <v>2.1707241952945182</v>
      </c>
    </row>
    <row r="30" spans="1:32" x14ac:dyDescent="0.25">
      <c r="B30">
        <f t="shared" ref="B30:Q35" si="47">B20 / B12</f>
        <v>2.5</v>
      </c>
      <c r="C30">
        <f t="shared" si="47"/>
        <v>1.9000000000000001</v>
      </c>
      <c r="D30">
        <f t="shared" si="47"/>
        <v>2.236842105263158</v>
      </c>
      <c r="E30">
        <f t="shared" si="47"/>
        <v>2.111764705882353</v>
      </c>
      <c r="F30">
        <f t="shared" si="47"/>
        <v>2.1629526462395541</v>
      </c>
      <c r="G30">
        <f t="shared" si="47"/>
        <v>2.2160334835801674</v>
      </c>
      <c r="H30">
        <f t="shared" si="47"/>
        <v>2.1511695481621391</v>
      </c>
      <c r="I30">
        <f t="shared" ref="I30:L30" si="48">I20 / I12</f>
        <v>2.157954276837875</v>
      </c>
      <c r="J30">
        <f t="shared" si="48"/>
        <v>2.1864569233297084</v>
      </c>
      <c r="K30">
        <f t="shared" si="48"/>
        <v>2.1696141809912168</v>
      </c>
      <c r="L30">
        <f t="shared" si="48"/>
        <v>2.1637824428787202</v>
      </c>
      <c r="M30">
        <f t="shared" ref="M30:W30" si="49">M20 / M12</f>
        <v>2.1743981718499539</v>
      </c>
      <c r="N30">
        <f t="shared" si="49"/>
        <v>2.172381206749658</v>
      </c>
      <c r="O30">
        <f t="shared" si="49"/>
        <v>2.1682310081700016</v>
      </c>
      <c r="P30">
        <f t="shared" si="49"/>
        <v>2.1710546863719276</v>
      </c>
      <c r="Q30">
        <f t="shared" si="49"/>
        <v>2.171763235430435</v>
      </c>
      <c r="R30">
        <f t="shared" si="49"/>
        <v>2.1700976151610223</v>
      </c>
      <c r="S30">
        <f t="shared" si="49"/>
        <v>2.1705087264602594</v>
      </c>
      <c r="T30">
        <f t="shared" si="49"/>
        <v>2.1711179211848104</v>
      </c>
      <c r="U30">
        <f t="shared" si="49"/>
        <v>2.1706478171667625</v>
      </c>
      <c r="V30">
        <f t="shared" si="49"/>
        <v>2.1705687967518625</v>
      </c>
      <c r="W30">
        <f t="shared" si="49"/>
        <v>2.1708284602746239</v>
      </c>
      <c r="X30">
        <f t="shared" ref="X30:AN30" si="50">X20 / X12</f>
        <v>2.1707493440806576</v>
      </c>
      <c r="Y30">
        <f t="shared" si="50"/>
        <v>2.1706611210283411</v>
      </c>
      <c r="Z30">
        <f t="shared" si="50"/>
        <v>2.170738520418499</v>
      </c>
      <c r="AA30">
        <f t="shared" si="50"/>
        <v>2.1707457730470647</v>
      </c>
      <c r="AB30">
        <f t="shared" si="50"/>
        <v>2.170705607022875</v>
      </c>
      <c r="AC30">
        <f t="shared" si="50"/>
        <v>2.1707202142270248</v>
      </c>
      <c r="AD30">
        <f t="shared" si="50"/>
        <v>2.170732795302901</v>
      </c>
      <c r="AE30">
        <f t="shared" si="50"/>
        <v>2.1707201720525591</v>
      </c>
      <c r="AF30">
        <f t="shared" ref="AF30" si="51">AF20 / AF12</f>
        <v>2.1707198509940455</v>
      </c>
    </row>
    <row r="31" spans="1:32" x14ac:dyDescent="0.25">
      <c r="B31">
        <f t="shared" si="47"/>
        <v>3</v>
      </c>
      <c r="C31">
        <f t="shared" si="47"/>
        <v>2</v>
      </c>
      <c r="D31">
        <f t="shared" si="47"/>
        <v>2.166666666666667</v>
      </c>
      <c r="E31">
        <f t="shared" si="47"/>
        <v>2.2692307692307692</v>
      </c>
      <c r="F31">
        <f t="shared" si="47"/>
        <v>2.1271186440677967</v>
      </c>
      <c r="G31">
        <f t="shared" si="47"/>
        <v>2.141434262948207</v>
      </c>
      <c r="H31">
        <f t="shared" si="47"/>
        <v>2.2079069767441859</v>
      </c>
      <c r="I31">
        <f t="shared" ref="I31:L31" si="52">I21 / I13</f>
        <v>2.1675795239098377</v>
      </c>
      <c r="J31">
        <f t="shared" si="52"/>
        <v>2.1546965353029783</v>
      </c>
      <c r="K31">
        <f t="shared" si="52"/>
        <v>2.1795552698938918</v>
      </c>
      <c r="L31">
        <f t="shared" si="52"/>
        <v>2.1744106637970506</v>
      </c>
      <c r="M31">
        <f t="shared" ref="M31:W31" si="53">M21 / M13</f>
        <v>2.1648831790849545</v>
      </c>
      <c r="N31">
        <f t="shared" si="53"/>
        <v>2.1715983131298993</v>
      </c>
      <c r="O31">
        <f t="shared" si="53"/>
        <v>2.1731196611408472</v>
      </c>
      <c r="P31">
        <f t="shared" si="53"/>
        <v>2.1692299539445825</v>
      </c>
      <c r="Q31">
        <f t="shared" si="53"/>
        <v>2.1702530179663726</v>
      </c>
      <c r="R31">
        <f t="shared" si="53"/>
        <v>2.171647170818467</v>
      </c>
      <c r="S31">
        <f t="shared" si="53"/>
        <v>2.1705318103083253</v>
      </c>
      <c r="T31">
        <f t="shared" si="53"/>
        <v>2.1703687570371759</v>
      </c>
      <c r="U31">
        <f t="shared" si="53"/>
        <v>2.1709737825931792</v>
      </c>
      <c r="V31">
        <f t="shared" si="53"/>
        <v>2.1707793780023592</v>
      </c>
      <c r="W31">
        <f t="shared" si="53"/>
        <v>2.1705783382613193</v>
      </c>
      <c r="X31">
        <f t="shared" ref="X31:AN31" si="54">X21 / X13</f>
        <v>2.1707614360379184</v>
      </c>
      <c r="Y31">
        <f t="shared" si="54"/>
        <v>2.1707749397081053</v>
      </c>
      <c r="Z31">
        <f t="shared" si="54"/>
        <v>2.1706815638598993</v>
      </c>
      <c r="AA31">
        <f t="shared" si="54"/>
        <v>2.1707171219446506</v>
      </c>
      <c r="AB31">
        <f t="shared" si="54"/>
        <v>2.1707456501114097</v>
      </c>
      <c r="AC31">
        <f t="shared" si="54"/>
        <v>2.1707158648317235</v>
      </c>
      <c r="AD31">
        <f t="shared" si="54"/>
        <v>2.1707156592134251</v>
      </c>
      <c r="AE31">
        <f t="shared" si="54"/>
        <v>2.170729953089841</v>
      </c>
      <c r="AF31">
        <f t="shared" ref="AF31" si="55">AF21 / AF13</f>
        <v>2.1707236221863355</v>
      </c>
    </row>
    <row r="32" spans="1:32" x14ac:dyDescent="0.25">
      <c r="B32">
        <f t="shared" si="47"/>
        <v>3.5</v>
      </c>
      <c r="C32">
        <f t="shared" si="47"/>
        <v>2.3571428571428572</v>
      </c>
      <c r="D32">
        <f t="shared" si="47"/>
        <v>2.2878787878787881</v>
      </c>
      <c r="E32">
        <f t="shared" si="47"/>
        <v>2.1357615894039736</v>
      </c>
      <c r="F32">
        <f t="shared" si="47"/>
        <v>2.1294573643410857</v>
      </c>
      <c r="G32">
        <f t="shared" si="47"/>
        <v>2.2033127047688388</v>
      </c>
      <c r="H32">
        <f t="shared" si="47"/>
        <v>2.1769103676166868</v>
      </c>
      <c r="I32">
        <f t="shared" ref="I32:L32" si="56">I22 / I14</f>
        <v>2.1528660607555548</v>
      </c>
      <c r="J32">
        <f t="shared" si="56"/>
        <v>2.1756681723036242</v>
      </c>
      <c r="K32">
        <f t="shared" si="56"/>
        <v>2.1771254988976403</v>
      </c>
      <c r="L32">
        <f t="shared" si="56"/>
        <v>2.165504052210661</v>
      </c>
      <c r="M32">
        <f t="shared" ref="M32:W32" si="57">M22 / M14</f>
        <v>2.170020301064524</v>
      </c>
      <c r="N32">
        <f t="shared" si="57"/>
        <v>2.1735366967666652</v>
      </c>
      <c r="O32">
        <f t="shared" si="57"/>
        <v>2.1697937998794732</v>
      </c>
      <c r="P32">
        <f t="shared" si="57"/>
        <v>2.1698008493722543</v>
      </c>
      <c r="Q32">
        <f t="shared" si="57"/>
        <v>2.1715816685503273</v>
      </c>
      <c r="R32">
        <f t="shared" si="57"/>
        <v>2.1707768733333608</v>
      </c>
      <c r="S32">
        <f t="shared" si="57"/>
        <v>2.170289781956015</v>
      </c>
      <c r="T32">
        <f t="shared" si="57"/>
        <v>2.1708924469335433</v>
      </c>
      <c r="U32">
        <f t="shared" si="57"/>
        <v>2.1708536238973259</v>
      </c>
      <c r="V32">
        <f t="shared" si="57"/>
        <v>2.1705837224681357</v>
      </c>
      <c r="W32">
        <f t="shared" si="57"/>
        <v>2.170723614991652</v>
      </c>
      <c r="X32">
        <f t="shared" ref="X32:AN32" si="58">X22 / X14</f>
        <v>2.170789383739312</v>
      </c>
      <c r="Y32">
        <f t="shared" si="58"/>
        <v>2.170693099871325</v>
      </c>
      <c r="Z32">
        <f t="shared" si="58"/>
        <v>2.170705046836491</v>
      </c>
      <c r="AA32">
        <f t="shared" si="58"/>
        <v>2.1707455807380405</v>
      </c>
      <c r="AB32">
        <f t="shared" si="58"/>
        <v>2.170721653378759</v>
      </c>
      <c r="AC32">
        <f t="shared" si="58"/>
        <v>2.1707130888091655</v>
      </c>
      <c r="AD32">
        <f t="shared" si="58"/>
        <v>2.1707283492174541</v>
      </c>
      <c r="AE32">
        <f t="shared" si="58"/>
        <v>2.1707255691148433</v>
      </c>
      <c r="AF32">
        <f t="shared" ref="AF32" si="59">AF22 / AF14</f>
        <v>2.170719543433997</v>
      </c>
    </row>
    <row r="33" spans="2:32" x14ac:dyDescent="0.25">
      <c r="B33">
        <f t="shared" si="47"/>
        <v>5</v>
      </c>
      <c r="C33">
        <f t="shared" si="47"/>
        <v>2.2999999999999998</v>
      </c>
      <c r="D33">
        <f t="shared" si="47"/>
        <v>2.0652173913043477</v>
      </c>
      <c r="E33">
        <f t="shared" si="47"/>
        <v>2.2157894736842105</v>
      </c>
      <c r="F33">
        <f t="shared" si="47"/>
        <v>2.1793349168646081</v>
      </c>
      <c r="G33">
        <f t="shared" si="47"/>
        <v>2.1517711171662128</v>
      </c>
      <c r="H33">
        <f t="shared" si="47"/>
        <v>2.1749398505761679</v>
      </c>
      <c r="I33">
        <f t="shared" ref="I33:L33" si="60">I23 / I15</f>
        <v>2.1774766382346948</v>
      </c>
      <c r="J33">
        <f t="shared" si="60"/>
        <v>2.1658823372126443</v>
      </c>
      <c r="K33">
        <f t="shared" si="60"/>
        <v>2.1696655499298632</v>
      </c>
      <c r="L33">
        <f t="shared" si="60"/>
        <v>2.1735017349053276</v>
      </c>
      <c r="M33">
        <f t="shared" ref="M33:W33" si="61">M23 / M15</f>
        <v>2.1699857546512948</v>
      </c>
      <c r="N33">
        <f t="shared" si="61"/>
        <v>2.16972987589407</v>
      </c>
      <c r="O33">
        <f t="shared" si="61"/>
        <v>2.1715217449219479</v>
      </c>
      <c r="P33">
        <f t="shared" si="61"/>
        <v>2.1708379108347482</v>
      </c>
      <c r="Q33">
        <f t="shared" si="61"/>
        <v>2.1702908264655631</v>
      </c>
      <c r="R33">
        <f t="shared" si="61"/>
        <v>2.1708628707586555</v>
      </c>
      <c r="S33">
        <f t="shared" si="61"/>
        <v>2.170866435987223</v>
      </c>
      <c r="T33">
        <f t="shared" si="61"/>
        <v>2.1705920573838053</v>
      </c>
      <c r="U33">
        <f t="shared" si="61"/>
        <v>2.1707137579418507</v>
      </c>
      <c r="V33">
        <f t="shared" si="61"/>
        <v>2.1707898430580364</v>
      </c>
      <c r="W33">
        <f t="shared" si="61"/>
        <v>2.170697592860277</v>
      </c>
      <c r="X33">
        <f t="shared" ref="X33:AN33" si="62">X23 / X15</f>
        <v>2.1707028070800325</v>
      </c>
      <c r="Y33">
        <f t="shared" si="62"/>
        <v>2.170744445836843</v>
      </c>
      <c r="Z33">
        <f t="shared" si="62"/>
        <v>2.1707232317223855</v>
      </c>
      <c r="AA33">
        <f t="shared" si="62"/>
        <v>2.17071292003352</v>
      </c>
      <c r="AB33">
        <f t="shared" si="62"/>
        <v>2.1707276725789195</v>
      </c>
      <c r="AC33">
        <f t="shared" si="62"/>
        <v>2.1707259539165178</v>
      </c>
      <c r="AD33">
        <f t="shared" si="62"/>
        <v>2.1707196929791532</v>
      </c>
      <c r="AE33">
        <f t="shared" si="62"/>
        <v>2.1707233283846183</v>
      </c>
      <c r="AF33">
        <f t="shared" ref="AF33" si="63">AF23 / AF15</f>
        <v>2.1707246784772432</v>
      </c>
    </row>
    <row r="34" spans="2:32" x14ac:dyDescent="0.25">
      <c r="B34">
        <f t="shared" si="47"/>
        <v>2.5</v>
      </c>
      <c r="C34">
        <f t="shared" si="47"/>
        <v>1.9000000000000001</v>
      </c>
      <c r="D34">
        <f t="shared" si="47"/>
        <v>2.1315789473684208</v>
      </c>
      <c r="E34">
        <f t="shared" si="47"/>
        <v>2.2160493827160495</v>
      </c>
      <c r="F34">
        <f t="shared" si="47"/>
        <v>2.2130919220055709</v>
      </c>
      <c r="G34">
        <f t="shared" si="47"/>
        <v>2.1280679672750158</v>
      </c>
      <c r="H34">
        <f t="shared" si="47"/>
        <v>2.1665680910838385</v>
      </c>
      <c r="I34">
        <f t="shared" ref="I34:L34" si="64">I24 / I16</f>
        <v>2.1951032247056821</v>
      </c>
      <c r="J34">
        <f t="shared" si="64"/>
        <v>2.161552213283588</v>
      </c>
      <c r="K34">
        <f t="shared" si="64"/>
        <v>2.1632529589761753</v>
      </c>
      <c r="L34">
        <f t="shared" si="64"/>
        <v>2.178558234341982</v>
      </c>
      <c r="M34">
        <f t="shared" ref="M34:AB35" si="65">M24 / M16</f>
        <v>2.1707583161822641</v>
      </c>
      <c r="N34">
        <f t="shared" si="65"/>
        <v>2.1669846674850213</v>
      </c>
      <c r="O34">
        <f t="shared" si="65"/>
        <v>2.1723923758595545</v>
      </c>
      <c r="P34">
        <f t="shared" si="65"/>
        <v>2.1717564977535457</v>
      </c>
      <c r="Q34">
        <f t="shared" si="65"/>
        <v>2.1694637341217646</v>
      </c>
      <c r="R34">
        <f t="shared" si="65"/>
        <v>2.1707971814334868</v>
      </c>
      <c r="S34">
        <f t="shared" si="65"/>
        <v>2.1712906020957154</v>
      </c>
      <c r="T34">
        <f t="shared" si="65"/>
        <v>2.170432672572832</v>
      </c>
      <c r="U34">
        <f t="shared" si="65"/>
        <v>2.1705832526197901</v>
      </c>
      <c r="V34">
        <f t="shared" si="65"/>
        <v>2.1709245603702074</v>
      </c>
      <c r="W34">
        <f t="shared" si="65"/>
        <v>2.1706992316128177</v>
      </c>
      <c r="X34">
        <f t="shared" ref="X34:AN35" si="66">X24 / X16</f>
        <v>2.1706378448113774</v>
      </c>
      <c r="Y34">
        <f t="shared" si="66"/>
        <v>2.1707728840998515</v>
      </c>
      <c r="Z34">
        <f t="shared" si="66"/>
        <v>2.1707414158548151</v>
      </c>
      <c r="AA34">
        <f t="shared" si="66"/>
        <v>2.1706911829203812</v>
      </c>
      <c r="AB34">
        <f t="shared" si="66"/>
        <v>2.1707287792659518</v>
      </c>
      <c r="AC34">
        <f t="shared" si="66"/>
        <v>2.1707358204681064</v>
      </c>
      <c r="AD34">
        <f t="shared" si="66"/>
        <v>2.1707147277130225</v>
      </c>
      <c r="AE34">
        <f t="shared" si="66"/>
        <v>2.1707208573087935</v>
      </c>
      <c r="AF34">
        <f t="shared" ref="AF34" si="67">AF24 / AF16</f>
        <v>2.170728157314306</v>
      </c>
    </row>
    <row r="35" spans="2:32" x14ac:dyDescent="0.25">
      <c r="B35">
        <f>B25 / B17</f>
        <v>0</v>
      </c>
      <c r="C35" t="e">
        <f>C25 / C17</f>
        <v>#DIV/0!</v>
      </c>
      <c r="D35" t="e">
        <f t="shared" si="47"/>
        <v>#DIV/0!</v>
      </c>
      <c r="E35" t="e">
        <f t="shared" si="47"/>
        <v>#DIV/0!</v>
      </c>
      <c r="F35" t="e">
        <f t="shared" si="47"/>
        <v>#DIV/0!</v>
      </c>
      <c r="G35" t="e">
        <f t="shared" si="47"/>
        <v>#DIV/0!</v>
      </c>
      <c r="H35" t="e">
        <f t="shared" si="47"/>
        <v>#DIV/0!</v>
      </c>
      <c r="I35" t="e">
        <f t="shared" si="47"/>
        <v>#DIV/0!</v>
      </c>
      <c r="J35" t="e">
        <f t="shared" si="47"/>
        <v>#DIV/0!</v>
      </c>
      <c r="K35" t="e">
        <f t="shared" si="47"/>
        <v>#DIV/0!</v>
      </c>
      <c r="L35" t="e">
        <f t="shared" si="47"/>
        <v>#DIV/0!</v>
      </c>
      <c r="M35" t="e">
        <f t="shared" si="47"/>
        <v>#DIV/0!</v>
      </c>
      <c r="N35" t="e">
        <f t="shared" si="47"/>
        <v>#DIV/0!</v>
      </c>
      <c r="O35" t="e">
        <f t="shared" si="47"/>
        <v>#DIV/0!</v>
      </c>
      <c r="P35" t="e">
        <f t="shared" si="47"/>
        <v>#DIV/0!</v>
      </c>
      <c r="Q35" t="e">
        <f t="shared" si="47"/>
        <v>#DIV/0!</v>
      </c>
      <c r="R35" t="e">
        <f t="shared" si="65"/>
        <v>#DIV/0!</v>
      </c>
      <c r="S35" t="e">
        <f t="shared" si="65"/>
        <v>#DIV/0!</v>
      </c>
      <c r="T35" t="e">
        <f t="shared" si="65"/>
        <v>#DIV/0!</v>
      </c>
      <c r="U35" t="e">
        <f t="shared" si="65"/>
        <v>#DIV/0!</v>
      </c>
      <c r="V35" t="e">
        <f t="shared" si="65"/>
        <v>#DIV/0!</v>
      </c>
      <c r="W35" t="e">
        <f t="shared" si="65"/>
        <v>#DIV/0!</v>
      </c>
      <c r="X35" t="e">
        <f t="shared" si="65"/>
        <v>#DIV/0!</v>
      </c>
      <c r="Y35" t="e">
        <f t="shared" si="65"/>
        <v>#DIV/0!</v>
      </c>
      <c r="Z35" t="e">
        <f t="shared" si="65"/>
        <v>#DIV/0!</v>
      </c>
      <c r="AA35" t="e">
        <f t="shared" si="65"/>
        <v>#DIV/0!</v>
      </c>
      <c r="AB35" t="e">
        <f t="shared" si="65"/>
        <v>#DIV/0!</v>
      </c>
      <c r="AC35" t="e">
        <f t="shared" si="66"/>
        <v>#DIV/0!</v>
      </c>
      <c r="AD35" t="e">
        <f t="shared" si="66"/>
        <v>#DIV/0!</v>
      </c>
      <c r="AE35" t="e">
        <f t="shared" si="66"/>
        <v>#DIV/0!</v>
      </c>
      <c r="AF35" t="e">
        <f t="shared" si="66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Симметрические матрицы</vt:lpstr>
      <vt:lpstr>Неотрицательные матрицы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Dmitry Kadarmetov</cp:lastModifiedBy>
  <dcterms:created xsi:type="dcterms:W3CDTF">2015-06-05T18:19:34Z</dcterms:created>
  <dcterms:modified xsi:type="dcterms:W3CDTF">2025-10-18T12:57:09Z</dcterms:modified>
</cp:coreProperties>
</file>