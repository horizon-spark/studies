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Github\studies\Numerical methods\LW8\"/>
    </mc:Choice>
  </mc:AlternateContent>
  <xr:revisionPtr revIDLastSave="0" documentId="13_ncr:1_{D56B3CF5-F1CA-4742-B863-DF47D2D471AE}" xr6:coauthVersionLast="47" xr6:coauthVersionMax="47" xr10:uidLastSave="{00000000-0000-0000-0000-000000000000}"/>
  <bookViews>
    <workbookView xWindow="-7710" yWindow="1800" windowWidth="21585" windowHeight="11370" firstSheet="1" activeTab="2" xr2:uid="{00000000-000D-0000-FFFF-FFFF00000000}"/>
  </bookViews>
  <sheets>
    <sheet name="Половинного деления" sheetId="1" r:id="rId1"/>
    <sheet name="Золотого сечения" sheetId="2" r:id="rId2"/>
    <sheet name="Ньютона-Рафсона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3" l="1"/>
  <c r="L3" i="3"/>
  <c r="K3" i="3"/>
  <c r="J3" i="3"/>
  <c r="I3" i="3"/>
  <c r="H3" i="3"/>
  <c r="G3" i="3"/>
  <c r="F3" i="3"/>
  <c r="D3" i="3"/>
  <c r="E3" i="3" s="1"/>
  <c r="D12" i="2"/>
  <c r="J10" i="2"/>
  <c r="C10" i="2"/>
  <c r="D10" i="2"/>
  <c r="E10" i="2"/>
  <c r="F10" i="2"/>
  <c r="G10" i="2"/>
  <c r="J9" i="2"/>
  <c r="C9" i="2"/>
  <c r="D9" i="2"/>
  <c r="E9" i="2"/>
  <c r="F9" i="2"/>
  <c r="G9" i="2"/>
  <c r="J8" i="2"/>
  <c r="F8" i="2"/>
  <c r="C8" i="2"/>
  <c r="D8" i="2"/>
  <c r="E8" i="2"/>
  <c r="G8" i="2"/>
  <c r="J7" i="2"/>
  <c r="G7" i="2"/>
  <c r="D5" i="1"/>
  <c r="F3" i="1"/>
  <c r="F3" i="2"/>
  <c r="C6" i="2"/>
  <c r="E4" i="2"/>
  <c r="D4" i="2"/>
  <c r="J4" i="2"/>
  <c r="C4" i="2"/>
  <c r="J3" i="2"/>
  <c r="C4" i="1"/>
  <c r="E3" i="2"/>
  <c r="G3" i="2" s="1"/>
  <c r="J3" i="1"/>
  <c r="E3" i="1"/>
  <c r="F4" i="2" l="1"/>
  <c r="C5" i="2" s="1"/>
  <c r="D5" i="2"/>
  <c r="G4" i="2"/>
  <c r="F5" i="2" s="1"/>
  <c r="G6" i="2" s="1"/>
  <c r="F7" i="2" s="1"/>
  <c r="G3" i="1"/>
  <c r="D4" i="1" s="1"/>
  <c r="E4" i="1"/>
  <c r="C5" i="1"/>
  <c r="J4" i="1"/>
  <c r="J5" i="2" l="1"/>
  <c r="E5" i="2"/>
  <c r="G5" i="2"/>
  <c r="D6" i="2" s="1"/>
  <c r="F4" i="1"/>
  <c r="G4" i="1"/>
  <c r="J6" i="2" l="1"/>
  <c r="D7" i="2"/>
  <c r="E6" i="2"/>
  <c r="F6" i="2"/>
  <c r="C7" i="2" s="1"/>
  <c r="E5" i="1"/>
  <c r="G5" i="1" s="1"/>
  <c r="J5" i="1"/>
  <c r="D6" i="1"/>
  <c r="F5" i="1" l="1"/>
  <c r="C6" i="1" s="1"/>
  <c r="E6" i="1" s="1"/>
  <c r="G6" i="1" s="1"/>
  <c r="E7" i="2"/>
  <c r="D7" i="1"/>
  <c r="J6" i="1"/>
  <c r="F6" i="1"/>
  <c r="C7" i="1" s="1"/>
  <c r="E7" i="1" s="1"/>
  <c r="F7" i="1" l="1"/>
  <c r="C8" i="1" s="1"/>
  <c r="G7" i="1"/>
  <c r="D8" i="1"/>
  <c r="J7" i="1"/>
  <c r="D9" i="1" l="1"/>
  <c r="J8" i="1"/>
  <c r="E8" i="1"/>
  <c r="G8" i="1" l="1"/>
  <c r="F8" i="1"/>
  <c r="C9" i="1" s="1"/>
  <c r="E9" i="1" s="1"/>
  <c r="D10" i="1"/>
  <c r="J9" i="1" l="1"/>
  <c r="D11" i="1"/>
  <c r="F9" i="1"/>
  <c r="C10" i="1" s="1"/>
  <c r="E10" i="1" s="1"/>
  <c r="G9" i="1"/>
  <c r="F10" i="1" l="1"/>
  <c r="C11" i="1" s="1"/>
  <c r="E11" i="1" s="1"/>
  <c r="G10" i="1"/>
  <c r="J10" i="1"/>
  <c r="D12" i="1"/>
  <c r="G11" i="1" l="1"/>
  <c r="F11" i="1"/>
  <c r="C12" i="1" s="1"/>
  <c r="E12" i="1" s="1"/>
  <c r="J11" i="1"/>
  <c r="D13" i="1"/>
  <c r="J12" i="1" l="1"/>
  <c r="D14" i="1"/>
  <c r="F12" i="1"/>
  <c r="C13" i="1" s="1"/>
  <c r="E13" i="1" s="1"/>
  <c r="G12" i="1"/>
  <c r="G13" i="1" l="1"/>
  <c r="F13" i="1"/>
  <c r="C14" i="1" s="1"/>
  <c r="E14" i="1" s="1"/>
  <c r="D15" i="1"/>
  <c r="J14" i="1"/>
  <c r="J13" i="1"/>
  <c r="D16" i="1" l="1"/>
  <c r="F14" i="1"/>
  <c r="C15" i="1" s="1"/>
  <c r="E15" i="1" s="1"/>
  <c r="G14" i="1"/>
  <c r="G15" i="1" l="1"/>
  <c r="F15" i="1"/>
  <c r="C16" i="1" s="1"/>
  <c r="J15" i="1"/>
  <c r="E16" i="1"/>
  <c r="J16" i="1"/>
  <c r="D18" i="1" l="1"/>
  <c r="F16" i="1"/>
  <c r="G16" i="1"/>
</calcChain>
</file>

<file path=xl/sharedStrings.xml><?xml version="1.0" encoding="utf-8"?>
<sst xmlns="http://schemas.openxmlformats.org/spreadsheetml/2006/main" count="29" uniqueCount="22">
  <si>
    <t>Номер итерации</t>
  </si>
  <si>
    <t>a</t>
  </si>
  <si>
    <t>b</t>
  </si>
  <si>
    <t>f(x1)</t>
  </si>
  <si>
    <t>f(x2)</t>
  </si>
  <si>
    <t>c = (a + b) / 2</t>
  </si>
  <si>
    <t>x1 = c - EPS/2</t>
  </si>
  <si>
    <t>x2 = c + EPS / 2</t>
  </si>
  <si>
    <t>STOP</t>
  </si>
  <si>
    <t xml:space="preserve">x* = </t>
  </si>
  <si>
    <t>x1 = b - c</t>
  </si>
  <si>
    <t>x2 = a + c</t>
  </si>
  <si>
    <t>c = T(b - a)</t>
  </si>
  <si>
    <t xml:space="preserve">delta </t>
  </si>
  <si>
    <t xml:space="preserve">eps </t>
  </si>
  <si>
    <t>T</t>
  </si>
  <si>
    <t xml:space="preserve">x* </t>
  </si>
  <si>
    <t>f min</t>
  </si>
  <si>
    <t>n</t>
  </si>
  <si>
    <t>x</t>
  </si>
  <si>
    <t>f'(x)</t>
  </si>
  <si>
    <t>f''(x)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</si>
</sst>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/>
    <xf numFmtId="0" fontId="0" fillId="0" borderId="0" xfId="0" applyNumberFormat="1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8"/>
  <sheetViews>
    <sheetView topLeftCell="B1" workbookViewId="0">
      <selection activeCell="G26" sqref="G26"/>
    </sheetView>
  </sheetViews>
  <sheetFormatPr defaultRowHeight="15" x14ac:dyDescent="0.25"/>
  <cols>
    <col min="2" max="2" width="10" customWidth="1"/>
    <col min="5" max="5" width="13.5703125" customWidth="1"/>
    <col min="6" max="6" width="14.140625" customWidth="1"/>
    <col min="7" max="7" width="15" customWidth="1"/>
  </cols>
  <sheetData>
    <row r="2" spans="2:13" ht="30" x14ac:dyDescent="0.25">
      <c r="B2" s="1" t="s">
        <v>0</v>
      </c>
      <c r="C2" s="2" t="s">
        <v>1</v>
      </c>
      <c r="D2" s="2" t="s">
        <v>2</v>
      </c>
      <c r="E2" s="1" t="s">
        <v>5</v>
      </c>
      <c r="F2" s="1" t="s">
        <v>6</v>
      </c>
      <c r="G2" s="2" t="s">
        <v>7</v>
      </c>
      <c r="H2" s="2" t="s">
        <v>3</v>
      </c>
      <c r="I2" s="2" t="s">
        <v>4</v>
      </c>
      <c r="J2" s="2" t="s">
        <v>8</v>
      </c>
    </row>
    <row r="3" spans="2:13" x14ac:dyDescent="0.25">
      <c r="B3">
        <v>1</v>
      </c>
      <c r="C3" s="3">
        <v>0</v>
      </c>
      <c r="D3" s="3">
        <v>10</v>
      </c>
      <c r="E3" s="3">
        <f>(C3 + D3) / 2</f>
        <v>5</v>
      </c>
      <c r="F3" s="3">
        <f>E3 - $M$4 / 2</f>
        <v>4.9999500000000001</v>
      </c>
      <c r="G3" s="3">
        <f>E3 + $M$4 / 2</f>
        <v>5.0000499999999999</v>
      </c>
      <c r="H3" s="3">
        <v>3.1629800000000001</v>
      </c>
      <c r="I3" s="3">
        <v>3.1629900000000002</v>
      </c>
      <c r="J3">
        <f>IF(D3 - C3 &lt;= 2 * $M$3, 1,0)</f>
        <v>0</v>
      </c>
      <c r="L3" t="s">
        <v>13</v>
      </c>
      <c r="M3">
        <v>1E-3</v>
      </c>
    </row>
    <row r="4" spans="2:13" x14ac:dyDescent="0.25">
      <c r="B4">
        <v>2</v>
      </c>
      <c r="C4" s="3">
        <f>IF(H3 = I3, F3, IF(H3 &gt; I3, F3, C3))</f>
        <v>0</v>
      </c>
      <c r="D4" s="3">
        <f>IF(H3 = I3, G3, IF(H3 &lt; I3, G3, D3))</f>
        <v>5.0000499999999999</v>
      </c>
      <c r="E4" s="3">
        <f>(C4 + D4) / 2</f>
        <v>2.5000249999999999</v>
      </c>
      <c r="F4" s="3">
        <f>E4 - $M$4 / 2</f>
        <v>2.4999750000000001</v>
      </c>
      <c r="G4" s="3">
        <f>E4 + $M$4 / 2</f>
        <v>2.5000749999999998</v>
      </c>
      <c r="H4" s="3">
        <v>3.4853000000000001</v>
      </c>
      <c r="I4" s="3">
        <v>3.5889684445222598</v>
      </c>
      <c r="J4">
        <f>IF(D4 - C4 &lt;= 2 * $M$3, 1,0)</f>
        <v>0</v>
      </c>
      <c r="L4" t="s">
        <v>14</v>
      </c>
      <c r="M4">
        <v>1E-4</v>
      </c>
    </row>
    <row r="5" spans="2:13" x14ac:dyDescent="0.25">
      <c r="B5">
        <v>3</v>
      </c>
      <c r="C5" s="3">
        <f>IF(H4 = I4, F4, IF(H4 &gt; I4, F4, C4))</f>
        <v>0</v>
      </c>
      <c r="D5" s="3">
        <f>IF(H4 = I4, G4, IF(H4 &lt; I4, G4, D4))</f>
        <v>2.5000749999999998</v>
      </c>
      <c r="E5" s="3">
        <f>(C5 + D5) / 2</f>
        <v>1.2500374999999999</v>
      </c>
      <c r="F5" s="3">
        <f>E5 - $M$4 / 2</f>
        <v>1.2499874999999998</v>
      </c>
      <c r="G5" s="3">
        <f>E5 + $M$4 / 2</f>
        <v>1.2500875</v>
      </c>
      <c r="H5" s="3">
        <v>5.9789500000000002</v>
      </c>
      <c r="I5" s="3">
        <v>5.9785899999999996</v>
      </c>
      <c r="J5">
        <f>IF(D5 - C5 &lt;= 2 * $M$3, 1,0)</f>
        <v>0</v>
      </c>
    </row>
    <row r="6" spans="2:13" x14ac:dyDescent="0.25">
      <c r="B6">
        <v>4</v>
      </c>
      <c r="C6" s="3">
        <f>IF(H5 = I5, F5, IF(H5 &gt; I5, F5, C5))</f>
        <v>1.2499874999999998</v>
      </c>
      <c r="D6" s="3">
        <f>IF(H5 = I5, G5, IF(H5 &lt; I5, G5, D5))</f>
        <v>2.5000749999999998</v>
      </c>
      <c r="E6" s="3">
        <f>(C6 + D6) / 2</f>
        <v>1.8750312499999997</v>
      </c>
      <c r="F6" s="3">
        <f>E6 - $M$4 / 2</f>
        <v>1.8749812499999996</v>
      </c>
      <c r="G6" s="3">
        <f>E6 + $M$4 / 2</f>
        <v>1.8750812499999998</v>
      </c>
      <c r="H6" s="3">
        <v>4.2954800000000004</v>
      </c>
      <c r="I6" s="3">
        <v>4.2952899999999996</v>
      </c>
      <c r="J6">
        <f>IF(D6 - C6 &lt;= 2 * $M$3, 1,0)</f>
        <v>0</v>
      </c>
    </row>
    <row r="7" spans="2:13" x14ac:dyDescent="0.25">
      <c r="B7">
        <v>5</v>
      </c>
      <c r="C7" s="3">
        <f>IF(H6 = I6, F6, IF(H6 &gt; I6, F6, C6))</f>
        <v>1.8749812499999996</v>
      </c>
      <c r="D7" s="3">
        <f>IF(H6 = I6, G6, IF(H6 &lt; I6, G6, D6))</f>
        <v>2.5000749999999998</v>
      </c>
      <c r="E7" s="3">
        <f>(C7 + D7) / 2</f>
        <v>2.1875281249999996</v>
      </c>
      <c r="F7" s="3">
        <f>E7 - $M$4 / 2</f>
        <v>2.1874781249999997</v>
      </c>
      <c r="G7" s="3">
        <f>E7 + $M$4 / 2</f>
        <v>2.1875781249999995</v>
      </c>
      <c r="H7" s="3">
        <v>3.8036099999999999</v>
      </c>
      <c r="I7" s="3">
        <v>3.80348</v>
      </c>
      <c r="J7">
        <f>IF(D7 - C7 &lt;= 2 * $M$3, 1,0)</f>
        <v>0</v>
      </c>
    </row>
    <row r="8" spans="2:13" x14ac:dyDescent="0.25">
      <c r="B8">
        <v>6</v>
      </c>
      <c r="C8" s="3">
        <f>IF(H7 = I7, F7, IF(H7 &gt; I7, F7, C7))</f>
        <v>2.1874781249999997</v>
      </c>
      <c r="D8" s="3">
        <f>IF(H7 = I7, G7, IF(H7 &lt; I7, G7, D7))</f>
        <v>2.5000749999999998</v>
      </c>
      <c r="E8" s="3">
        <f>(C8 + D8) / 2</f>
        <v>2.3437765624999995</v>
      </c>
      <c r="F8" s="3">
        <f>E8 - $M$4 / 2</f>
        <v>2.3437265624999997</v>
      </c>
      <c r="G8" s="3">
        <f>E8 + $M$4 / 2</f>
        <v>2.3438265624999994</v>
      </c>
      <c r="H8" s="3">
        <v>3.6255600000000001</v>
      </c>
      <c r="I8" s="3">
        <v>3.6254599999999999</v>
      </c>
      <c r="J8">
        <f>IF(D8 - C8 &lt;= 2 * $M$3, 1,0)</f>
        <v>0</v>
      </c>
    </row>
    <row r="9" spans="2:13" x14ac:dyDescent="0.25">
      <c r="B9">
        <v>7</v>
      </c>
      <c r="C9" s="3">
        <f>IF(H8 = I8, F8, IF(H8 &gt; I8, F8, C8))</f>
        <v>2.3437265624999997</v>
      </c>
      <c r="D9" s="3">
        <f>IF(H8 = I8, G8, IF(H8 &lt; I8, G8, D8))</f>
        <v>2.5000749999999998</v>
      </c>
      <c r="E9" s="3">
        <f>(C9 + D9) / 2</f>
        <v>2.4219007812499997</v>
      </c>
      <c r="F9" s="3">
        <f>E9 - $M$4 / 2</f>
        <v>2.4218507812499999</v>
      </c>
      <c r="G9" s="3">
        <f>E9 + $M$4 / 2</f>
        <v>2.4219507812499996</v>
      </c>
      <c r="H9" s="3">
        <v>3.5510799999999998</v>
      </c>
      <c r="I9" s="3">
        <v>3.5509900000000001</v>
      </c>
      <c r="J9">
        <f>IF(D9 - C9 &lt;= 2 * $M$3, 1,0)</f>
        <v>0</v>
      </c>
    </row>
    <row r="10" spans="2:13" x14ac:dyDescent="0.25">
      <c r="B10">
        <v>8</v>
      </c>
      <c r="C10" s="3">
        <f>IF(H9 = I9, F9, IF(H9 &gt; I9, F9, C9))</f>
        <v>2.4218507812499999</v>
      </c>
      <c r="D10" s="3">
        <f>IF(H9 = I9, G9, IF(H9 &lt; I9, G9, D9))</f>
        <v>2.5000749999999998</v>
      </c>
      <c r="E10" s="3">
        <f>(C10 + D10) / 2</f>
        <v>2.4609628906249998</v>
      </c>
      <c r="F10" s="3">
        <f>E10 - $M$4 / 2</f>
        <v>2.460912890625</v>
      </c>
      <c r="G10" s="3">
        <f>E10 + $M$4 / 2</f>
        <v>2.4610128906249997</v>
      </c>
      <c r="H10" s="3">
        <v>3.5171800000000002</v>
      </c>
      <c r="I10" s="3">
        <v>3.51709</v>
      </c>
      <c r="J10">
        <f>IF(D10 - C10 &lt;= 2 * $M$3, 1,0)</f>
        <v>0</v>
      </c>
    </row>
    <row r="11" spans="2:13" x14ac:dyDescent="0.25">
      <c r="B11">
        <v>9</v>
      </c>
      <c r="C11" s="3">
        <f>IF(H10 = I10, F10, IF(H10 &gt; I10, F10, C10))</f>
        <v>2.460912890625</v>
      </c>
      <c r="D11" s="3">
        <f>IF(H10 = I10, G10, IF(H10 &lt; I10, G10, D10))</f>
        <v>2.5000749999999998</v>
      </c>
      <c r="E11" s="3">
        <f>(C11 + D11) / 2</f>
        <v>2.4804939453124999</v>
      </c>
      <c r="F11" s="3">
        <f>E11 - $M$4 / 2</f>
        <v>2.4804439453125</v>
      </c>
      <c r="G11" s="3">
        <f>E11 + $M$4 / 2</f>
        <v>2.4805439453124998</v>
      </c>
      <c r="H11" s="3">
        <v>3.50102</v>
      </c>
      <c r="I11" s="3">
        <v>3.5009399999999999</v>
      </c>
      <c r="J11">
        <f>IF(D11 - C11 &lt;= 2 * $M$3, 1,0)</f>
        <v>0</v>
      </c>
    </row>
    <row r="12" spans="2:13" x14ac:dyDescent="0.25">
      <c r="B12">
        <v>10</v>
      </c>
      <c r="C12" s="3">
        <f>IF(H11 = I11, F11, IF(H11 &gt; I11, F11, C11))</f>
        <v>2.4804439453125</v>
      </c>
      <c r="D12" s="3">
        <f>IF(H11 = I11, G11, IF(H11 &lt; I11, G11, D11))</f>
        <v>2.5000749999999998</v>
      </c>
      <c r="E12" s="3">
        <f>(C12 + D12) / 2</f>
        <v>2.4902594726562501</v>
      </c>
      <c r="F12" s="3">
        <f>E12 - $M$4 / 2</f>
        <v>2.4902094726562503</v>
      </c>
      <c r="G12" s="3">
        <f>E12 + $M$4 / 2</f>
        <v>2.49030947265625</v>
      </c>
      <c r="H12" s="3">
        <v>3.4931399999999999</v>
      </c>
      <c r="I12" s="3">
        <v>3.4930599999999998</v>
      </c>
      <c r="J12">
        <f>IF(D12 - C12 &lt;= 2 * $M$3, 1,0)</f>
        <v>0</v>
      </c>
    </row>
    <row r="13" spans="2:13" x14ac:dyDescent="0.25">
      <c r="B13">
        <v>11</v>
      </c>
      <c r="C13" s="3">
        <f>IF(H12 = I12, F12, IF(H12 &gt; I12, F12, C12))</f>
        <v>2.4902094726562503</v>
      </c>
      <c r="D13" s="3">
        <f>IF(H12 = I12, G12, IF(H12 &lt; I12, G12, D12))</f>
        <v>2.5000749999999998</v>
      </c>
      <c r="E13" s="3">
        <f>(C13 + D13) / 2</f>
        <v>2.495142236328125</v>
      </c>
      <c r="F13" s="3">
        <f>E13 - $M$4 / 2</f>
        <v>2.4950922363281252</v>
      </c>
      <c r="G13" s="3">
        <f>E13 + $M$4 / 2</f>
        <v>2.4951922363281249</v>
      </c>
      <c r="H13">
        <v>3.4892400000000001</v>
      </c>
      <c r="I13">
        <v>3.48916</v>
      </c>
      <c r="J13">
        <f>IF(D13 - C13 &lt;= 2 * $M$3, 1,0)</f>
        <v>0</v>
      </c>
    </row>
    <row r="14" spans="2:13" x14ac:dyDescent="0.25">
      <c r="B14">
        <v>12</v>
      </c>
      <c r="C14" s="3">
        <f>IF(H13 = I13, F13, IF(H13 &gt; I13, F13, C13))</f>
        <v>2.4950922363281252</v>
      </c>
      <c r="D14" s="3">
        <f>IF(H13 = I13, G13, IF(H13 &lt; I13, G13, D13))</f>
        <v>2.5000749999999998</v>
      </c>
      <c r="E14" s="3">
        <f>(C14 + D14) / 2</f>
        <v>2.4975836181640627</v>
      </c>
      <c r="F14" s="3">
        <f>E14 - $M$4 / 2</f>
        <v>2.4975336181640628</v>
      </c>
      <c r="G14" s="3">
        <f>E14 + $M$4 / 2</f>
        <v>2.4976336181640626</v>
      </c>
      <c r="H14">
        <v>3.4873099999999999</v>
      </c>
      <c r="I14">
        <v>3.4872299999999998</v>
      </c>
      <c r="J14">
        <f>IF(D14 - C14 &lt;= 2 * $M$3, 1,0)</f>
        <v>0</v>
      </c>
    </row>
    <row r="15" spans="2:13" x14ac:dyDescent="0.25">
      <c r="B15">
        <v>13</v>
      </c>
      <c r="C15" s="3">
        <f>IF(H14 = I14, F14, IF(H14 &gt; I14, F14, C14))</f>
        <v>2.4975336181640628</v>
      </c>
      <c r="D15" s="3">
        <f>IF(H14 = I14, G14, IF(H14 &lt; I14, G14, D14))</f>
        <v>2.5000749999999998</v>
      </c>
      <c r="E15" s="3">
        <f>(C15 + D15) / 2</f>
        <v>2.4988043090820313</v>
      </c>
      <c r="F15" s="3">
        <f>E15 - $M$4 / 2</f>
        <v>2.4987543090820314</v>
      </c>
      <c r="G15" s="3">
        <f>E15 + $M$4 / 2</f>
        <v>2.4988543090820312</v>
      </c>
      <c r="H15">
        <v>3.4863499999999998</v>
      </c>
      <c r="I15">
        <v>3.4862700000000002</v>
      </c>
      <c r="J15">
        <f>IF(D15 - C15 &lt;= 2 * $M$3, 1,0)</f>
        <v>0</v>
      </c>
    </row>
    <row r="16" spans="2:13" x14ac:dyDescent="0.25">
      <c r="B16">
        <v>14</v>
      </c>
      <c r="C16" s="3">
        <f>IF(H15 = I15, F15, IF(H15 &gt; I15, F15, C15))</f>
        <v>2.4987543090820314</v>
      </c>
      <c r="D16" s="3">
        <f>IF(H15 = I15, G15, IF(H15 &lt; I15, G15, D15))</f>
        <v>2.5000749999999998</v>
      </c>
      <c r="E16" s="3">
        <f>(C16 + D16) / 2</f>
        <v>2.4994146545410159</v>
      </c>
      <c r="F16" s="3">
        <f>E16 - $M$4 / 2</f>
        <v>2.499364654541016</v>
      </c>
      <c r="G16" s="3">
        <f>E16 + $M$4 / 2</f>
        <v>2.4994646545410157</v>
      </c>
      <c r="H16">
        <v>3.4858699999999998</v>
      </c>
      <c r="I16">
        <v>3.4857900000000002</v>
      </c>
      <c r="J16">
        <f>IF(D16 - C16 &lt;= 2 * $M$3, 1,0)</f>
        <v>1</v>
      </c>
    </row>
    <row r="18" spans="3:4" x14ac:dyDescent="0.25">
      <c r="C18" t="s">
        <v>9</v>
      </c>
      <c r="D18" s="3">
        <f>E16</f>
        <v>2.4994146545410159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27C1-59F4-4BF1-A55C-F14E0A90BF7E}">
  <dimension ref="B2:M26"/>
  <sheetViews>
    <sheetView workbookViewId="0">
      <selection activeCell="D15" sqref="D15"/>
    </sheetView>
  </sheetViews>
  <sheetFormatPr defaultRowHeight="15" x14ac:dyDescent="0.25"/>
  <cols>
    <col min="2" max="2" width="10.28515625" customWidth="1"/>
    <col min="4" max="4" width="11.140625" customWidth="1"/>
    <col min="5" max="5" width="10.42578125" customWidth="1"/>
    <col min="6" max="6" width="11.28515625" customWidth="1"/>
  </cols>
  <sheetData>
    <row r="2" spans="2:13" ht="30" x14ac:dyDescent="0.25">
      <c r="B2" s="1" t="s">
        <v>0</v>
      </c>
      <c r="C2" s="2" t="s">
        <v>1</v>
      </c>
      <c r="D2" s="2" t="s">
        <v>2</v>
      </c>
      <c r="E2" s="1" t="s">
        <v>12</v>
      </c>
      <c r="F2" s="1" t="s">
        <v>10</v>
      </c>
      <c r="G2" s="2" t="s">
        <v>11</v>
      </c>
      <c r="H2" s="2" t="s">
        <v>3</v>
      </c>
      <c r="I2" s="2" t="s">
        <v>4</v>
      </c>
      <c r="J2" s="2" t="s">
        <v>8</v>
      </c>
    </row>
    <row r="3" spans="2:13" x14ac:dyDescent="0.25">
      <c r="C3" s="3">
        <v>0</v>
      </c>
      <c r="D3" s="3">
        <v>10</v>
      </c>
      <c r="E3" s="3">
        <f>$M$4 * (D3-C3)</f>
        <v>6.1803399999999993</v>
      </c>
      <c r="F3" s="3">
        <f>D3-E3</f>
        <v>3.8196600000000007</v>
      </c>
      <c r="G3" s="3">
        <f>C3+E3</f>
        <v>6.1803399999999993</v>
      </c>
      <c r="H3" s="3">
        <v>3.1452100000000001</v>
      </c>
      <c r="I3" s="3">
        <v>3.7870499999999998</v>
      </c>
      <c r="J3" s="3">
        <f>IF(OR(D3-C3 &lt;= 2 * $M$3, H3=I3), 1, 0)</f>
        <v>0</v>
      </c>
      <c r="L3" t="s">
        <v>13</v>
      </c>
      <c r="M3">
        <v>1E-3</v>
      </c>
    </row>
    <row r="4" spans="2:13" x14ac:dyDescent="0.25">
      <c r="C4" s="3">
        <f>IF(H3&gt;I3, F3,C3)</f>
        <v>0</v>
      </c>
      <c r="D4" s="3">
        <f>IF(H3&lt;I3,G3,D3)</f>
        <v>6.1803399999999993</v>
      </c>
      <c r="E4" s="3">
        <f>$M$4 * (D4-C4)</f>
        <v>3.8196602515599993</v>
      </c>
      <c r="F4" s="3">
        <f>IF(H3&gt;I3,G3, D4 - E4)</f>
        <v>2.3606797484399999</v>
      </c>
      <c r="G4" s="3">
        <f>IF(H3 &lt; I3, F3, C4 + E4)</f>
        <v>3.8196600000000007</v>
      </c>
      <c r="H4" s="3">
        <v>3.6086200000000002</v>
      </c>
      <c r="I4" s="3">
        <v>3.1452100000000001</v>
      </c>
      <c r="J4" s="3">
        <f>IF(OR(D4-C4 &lt;= 2 * $M$3, H4=I4), 1, 0)</f>
        <v>0</v>
      </c>
      <c r="L4" t="s">
        <v>15</v>
      </c>
      <c r="M4">
        <v>0.61803399999999997</v>
      </c>
    </row>
    <row r="5" spans="2:13" x14ac:dyDescent="0.25">
      <c r="C5" s="3">
        <f>IF(H4&gt;I4, F4,C4)</f>
        <v>2.3606797484399999</v>
      </c>
      <c r="D5" s="3">
        <f>IF(H4&lt;I4,G4,D4)</f>
        <v>6.1803399999999993</v>
      </c>
      <c r="E5" s="3">
        <f>$M$4 * (D5-C5)</f>
        <v>2.3606799039126325</v>
      </c>
      <c r="F5" s="3">
        <f>IF(H4&gt;I4,G4, D5 - E5)</f>
        <v>3.8196600000000007</v>
      </c>
      <c r="G5" s="3">
        <f>IF(H4 &lt; I4, F4, C5 + E5)</f>
        <v>4.721359652352632</v>
      </c>
      <c r="H5" s="3">
        <v>3.1452100000000001</v>
      </c>
      <c r="I5" s="3">
        <v>3.14784</v>
      </c>
      <c r="J5" s="3">
        <f>IF(OR(D5-C5 &lt;= 2 * $M$3, H5=I5), 1, 0)</f>
        <v>0</v>
      </c>
    </row>
    <row r="6" spans="2:13" x14ac:dyDescent="0.25">
      <c r="C6" s="3">
        <f>IF(H5&gt;I5, F5,C5)</f>
        <v>2.3606797484399999</v>
      </c>
      <c r="D6" s="3">
        <f>IF(H5&lt;I5,G5,D5)</f>
        <v>4.721359652352632</v>
      </c>
      <c r="E6" s="3">
        <f>$M$4 * (D6-C6)</f>
        <v>1.4589804437347396</v>
      </c>
      <c r="F6" s="3">
        <f>IF(H5&gt;I5,G5, D6 - E6)</f>
        <v>3.2623792086178924</v>
      </c>
      <c r="G6" s="3">
        <f>IF(H5 &lt; I5, F5, C6 + E6)</f>
        <v>3.8196600000000007</v>
      </c>
      <c r="H6" s="3">
        <v>3.1764100000000002</v>
      </c>
      <c r="I6" s="3">
        <v>3.1452100000000001</v>
      </c>
      <c r="J6" s="3">
        <f>IF(OR(D6-C6 &lt;= 2 * $M$3, H6=I6), 1, 0)</f>
        <v>0</v>
      </c>
    </row>
    <row r="7" spans="2:13" x14ac:dyDescent="0.25">
      <c r="C7" s="3">
        <f>IF(H6&gt;I6, F6,C6)</f>
        <v>3.2623792086178924</v>
      </c>
      <c r="D7" s="3">
        <f>IF(H6&lt;I6,G6,D6)</f>
        <v>4.721359652352632</v>
      </c>
      <c r="E7" s="3">
        <f>$M$4 * (D7-C7)</f>
        <v>0.90169951956315597</v>
      </c>
      <c r="F7" s="3">
        <f>IF(H6&gt;I6,G6, D7 - E7)</f>
        <v>3.8196600000000007</v>
      </c>
      <c r="G7" s="3">
        <f>IF(H6 &lt; I6, F6, C7 + E7)</f>
        <v>4.1640787281810487</v>
      </c>
      <c r="H7" s="3">
        <v>3.1452100000000001</v>
      </c>
      <c r="I7" s="3">
        <v>3.14438</v>
      </c>
      <c r="J7" s="3">
        <f>IF(OR(D7-C7 &lt;= 2 * $M$3, H7=I7), 1, 0)</f>
        <v>0</v>
      </c>
    </row>
    <row r="8" spans="2:13" x14ac:dyDescent="0.25">
      <c r="C8" s="3">
        <f>IF(H7&gt;I7, F7,C7)</f>
        <v>3.8196600000000007</v>
      </c>
      <c r="D8" s="3">
        <f>IF(H7&lt;I7,G7,D7)</f>
        <v>4.721359652352632</v>
      </c>
      <c r="E8" s="3">
        <f>$M$4 * (D8-C8)</f>
        <v>0.55728104294210612</v>
      </c>
      <c r="F8" s="3">
        <f>IF(H7&gt;I7,G7, D8 - E8)</f>
        <v>4.1640787281810487</v>
      </c>
      <c r="G8" s="3">
        <f>IF(H7 &lt; I7, F7, C8 + E8)</f>
        <v>4.3769410429421072</v>
      </c>
      <c r="H8" s="3">
        <v>3.14438</v>
      </c>
      <c r="I8" s="3">
        <v>3.1444299999999998</v>
      </c>
      <c r="J8" s="3">
        <f>IF(OR(D8-C8 &lt;= 2 * $M$3, H8=I8), 1, 0)</f>
        <v>0</v>
      </c>
    </row>
    <row r="9" spans="2:13" x14ac:dyDescent="0.25">
      <c r="C9" s="3">
        <f>IF(H8&gt;I8, F8,C8)</f>
        <v>3.8196600000000007</v>
      </c>
      <c r="D9" s="3">
        <f>IF(H8&lt;I8,G8,D8)</f>
        <v>4.3769410429421072</v>
      </c>
      <c r="E9" s="3">
        <f>$M$4 * (D9-C9)</f>
        <v>0.34441863209368179</v>
      </c>
      <c r="F9" s="3">
        <f>IF(H8&gt;I8,G8, D9 - E9)</f>
        <v>4.0325224108484257</v>
      </c>
      <c r="G9" s="3">
        <f>IF(H8 &lt; I8, F8, C9 + E9)</f>
        <v>4.1640787281810487</v>
      </c>
      <c r="H9" s="3">
        <v>3.1444100000000001</v>
      </c>
      <c r="I9" s="3">
        <v>3.14438</v>
      </c>
      <c r="J9" s="3">
        <f>IF(OR(D9-C9 &lt;= 2 * $M$3, H9=I9), 1, 0)</f>
        <v>0</v>
      </c>
    </row>
    <row r="10" spans="2:13" x14ac:dyDescent="0.25">
      <c r="C10" s="3">
        <f>IF(H9&gt;I9, F9,C9)</f>
        <v>4.0325224108484257</v>
      </c>
      <c r="D10" s="3">
        <f>IF(H9&lt;I9,G9,D9)</f>
        <v>4.3769410429421072</v>
      </c>
      <c r="E10" s="3">
        <f>$M$4 * (D10-C10)</f>
        <v>0.21286242486738635</v>
      </c>
      <c r="F10" s="3">
        <f>IF(H9&gt;I9,G9, D10 - E10)</f>
        <v>4.1640787281810487</v>
      </c>
      <c r="G10" s="3">
        <f>IF(H9 &lt; I9, F9, C10 + E10)</f>
        <v>4.2453848357158117</v>
      </c>
      <c r="H10" s="3">
        <v>3.14438</v>
      </c>
      <c r="I10" s="3">
        <v>3.14438</v>
      </c>
      <c r="J10" s="3">
        <f>IF(OR(D10-C10 &lt;= 2 * $M$3, H10=I10), 1, 0)</f>
        <v>1</v>
      </c>
    </row>
    <row r="11" spans="2:13" x14ac:dyDescent="0.25">
      <c r="C11" s="4"/>
      <c r="D11" s="4"/>
      <c r="E11" s="4"/>
      <c r="F11" s="4"/>
      <c r="G11" s="4"/>
      <c r="H11" s="4"/>
      <c r="I11" s="4"/>
      <c r="J11" s="4"/>
      <c r="K11" s="4"/>
    </row>
    <row r="12" spans="2:13" x14ac:dyDescent="0.25">
      <c r="C12" s="4" t="s">
        <v>16</v>
      </c>
      <c r="D12" s="4">
        <f>(C10+D10)/2</f>
        <v>4.2047317268952664</v>
      </c>
      <c r="E12" s="4"/>
      <c r="F12" s="4"/>
      <c r="G12" s="4"/>
      <c r="H12" s="4"/>
      <c r="I12" s="4"/>
      <c r="J12" s="4"/>
      <c r="K12" s="4"/>
    </row>
    <row r="13" spans="2:13" x14ac:dyDescent="0.25">
      <c r="C13" s="4" t="s">
        <v>17</v>
      </c>
      <c r="D13" s="4">
        <v>3.14438502854604</v>
      </c>
      <c r="E13" s="4"/>
      <c r="F13" s="4"/>
      <c r="G13" s="4"/>
      <c r="H13" s="4"/>
      <c r="I13" s="4"/>
      <c r="J13" s="4"/>
      <c r="K13" s="4"/>
    </row>
    <row r="14" spans="2:13" x14ac:dyDescent="0.25">
      <c r="C14" s="4"/>
      <c r="D14" s="4"/>
      <c r="E14" s="4"/>
      <c r="F14" s="4"/>
      <c r="G14" s="4"/>
      <c r="H14" s="4"/>
      <c r="I14" s="4"/>
      <c r="J14" s="4"/>
      <c r="K14" s="4"/>
    </row>
    <row r="15" spans="2:13" x14ac:dyDescent="0.25">
      <c r="C15" s="4"/>
      <c r="D15" s="4"/>
      <c r="E15" s="4"/>
      <c r="F15" s="4"/>
      <c r="G15" s="4"/>
      <c r="H15" s="4"/>
      <c r="I15" s="4"/>
      <c r="J15" s="4"/>
      <c r="K15" s="4"/>
    </row>
    <row r="16" spans="2:13" x14ac:dyDescent="0.25">
      <c r="C16" s="4"/>
      <c r="D16" s="4"/>
      <c r="E16" s="4"/>
      <c r="F16" s="4"/>
      <c r="G16" s="4"/>
      <c r="H16" s="4"/>
      <c r="I16" s="4"/>
      <c r="J16" s="4"/>
      <c r="K16" s="4"/>
    </row>
    <row r="17" spans="3:11" x14ac:dyDescent="0.25">
      <c r="C17" s="4"/>
      <c r="D17" s="4"/>
      <c r="E17" s="4"/>
      <c r="F17" s="4"/>
      <c r="G17" s="4"/>
      <c r="H17" s="4"/>
      <c r="I17" s="4"/>
      <c r="J17" s="4"/>
      <c r="K17" s="4"/>
    </row>
    <row r="18" spans="3:11" x14ac:dyDescent="0.25">
      <c r="C18" s="4"/>
      <c r="D18" s="4"/>
      <c r="E18" s="4"/>
      <c r="F18" s="4"/>
      <c r="G18" s="4"/>
      <c r="H18" s="4"/>
      <c r="I18" s="4"/>
      <c r="J18" s="4"/>
      <c r="K18" s="4"/>
    </row>
    <row r="19" spans="3:11" x14ac:dyDescent="0.25">
      <c r="C19" s="4"/>
      <c r="D19" s="4"/>
      <c r="E19" s="4"/>
      <c r="F19" s="4"/>
      <c r="G19" s="4"/>
      <c r="H19" s="4"/>
      <c r="I19" s="4"/>
      <c r="J19" s="4"/>
      <c r="K19" s="4"/>
    </row>
    <row r="20" spans="3:11" x14ac:dyDescent="0.25">
      <c r="C20" s="4"/>
      <c r="D20" s="4"/>
      <c r="E20" s="4"/>
      <c r="F20" s="4"/>
      <c r="G20" s="4"/>
      <c r="H20" s="4"/>
      <c r="I20" s="4"/>
      <c r="J20" s="4"/>
      <c r="K20" s="4"/>
    </row>
    <row r="21" spans="3:11" x14ac:dyDescent="0.25">
      <c r="C21" s="4"/>
      <c r="D21" s="4"/>
      <c r="E21" s="4"/>
      <c r="F21" s="4"/>
      <c r="G21" s="4"/>
      <c r="H21" s="4"/>
      <c r="I21" s="4"/>
      <c r="J21" s="4"/>
      <c r="K21" s="4"/>
    </row>
    <row r="22" spans="3:11" x14ac:dyDescent="0.25">
      <c r="C22" s="4"/>
      <c r="D22" s="4"/>
      <c r="E22" s="4"/>
      <c r="F22" s="4"/>
      <c r="G22" s="4"/>
      <c r="H22" s="4"/>
      <c r="I22" s="4"/>
      <c r="J22" s="4"/>
      <c r="K22" s="4"/>
    </row>
    <row r="23" spans="3:11" x14ac:dyDescent="0.25">
      <c r="C23" s="4"/>
      <c r="D23" s="4"/>
      <c r="E23" s="4"/>
      <c r="F23" s="4"/>
      <c r="G23" s="4"/>
      <c r="H23" s="4"/>
      <c r="I23" s="4"/>
      <c r="J23" s="4"/>
      <c r="K23" s="4"/>
    </row>
    <row r="24" spans="3:11" x14ac:dyDescent="0.25">
      <c r="C24" s="4"/>
      <c r="D24" s="4"/>
      <c r="E24" s="4"/>
      <c r="F24" s="4"/>
      <c r="G24" s="4"/>
      <c r="H24" s="4"/>
      <c r="I24" s="4"/>
      <c r="J24" s="4"/>
      <c r="K24" s="4"/>
    </row>
    <row r="25" spans="3:11" x14ac:dyDescent="0.25">
      <c r="C25" s="4"/>
      <c r="D25" s="4"/>
      <c r="E25" s="4"/>
      <c r="F25" s="4"/>
      <c r="G25" s="4"/>
      <c r="H25" s="4"/>
      <c r="I25" s="4"/>
      <c r="J25" s="4"/>
      <c r="K25" s="4"/>
    </row>
    <row r="26" spans="3:11" x14ac:dyDescent="0.25">
      <c r="C26" s="4"/>
      <c r="D26" s="4"/>
      <c r="E26" s="4"/>
      <c r="F26" s="4"/>
      <c r="G26" s="4"/>
      <c r="H26" s="4"/>
      <c r="I26" s="4"/>
      <c r="J26" s="4"/>
      <c r="K2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B6679-F525-4DEA-8F29-391C6FFD3F85}">
  <dimension ref="B2:M5"/>
  <sheetViews>
    <sheetView tabSelected="1" workbookViewId="0">
      <selection activeCell="M12" sqref="M12"/>
    </sheetView>
  </sheetViews>
  <sheetFormatPr defaultRowHeight="15" x14ac:dyDescent="0.25"/>
  <cols>
    <col min="6" max="6" width="10.5703125" customWidth="1"/>
  </cols>
  <sheetData>
    <row r="2" spans="2:13" x14ac:dyDescent="0.25">
      <c r="B2" t="s">
        <v>18</v>
      </c>
    </row>
    <row r="3" spans="2:13" x14ac:dyDescent="0.25">
      <c r="B3" t="s">
        <v>19</v>
      </c>
      <c r="C3">
        <v>10</v>
      </c>
      <c r="D3">
        <f>C3 - C4/C5</f>
        <v>5.5134793322686821</v>
      </c>
      <c r="E3">
        <f>D3 - D4/D5</f>
        <v>5.0590992457566299</v>
      </c>
      <c r="F3">
        <f>E3 - E4/E5</f>
        <v>4.7658402866933613</v>
      </c>
      <c r="G3">
        <f>F3 - F4/F5</f>
        <v>4.5729799936358599</v>
      </c>
      <c r="H3">
        <f>G3 - G4/G5</f>
        <v>4.4451647248358075</v>
      </c>
      <c r="I3">
        <f>H3 - H4/H5</f>
        <v>4.3601759885202416</v>
      </c>
      <c r="J3">
        <f>I3 - I4/I5</f>
        <v>4.3035820269732747</v>
      </c>
      <c r="K3">
        <f>J3 - J4/J5</f>
        <v>4.2658719824082914</v>
      </c>
      <c r="L3">
        <f>K3 - K4/K5</f>
        <v>4.2407376532597167</v>
      </c>
      <c r="M3">
        <f>L3 - L4/L5</f>
        <v>4.2239831218522159</v>
      </c>
    </row>
    <row r="4" spans="2:13" x14ac:dyDescent="0.25">
      <c r="B4" t="s">
        <v>20</v>
      </c>
      <c r="C4">
        <v>14.5709000010706</v>
      </c>
      <c r="D4">
        <v>0.388215846621354</v>
      </c>
      <c r="E4">
        <v>0.11266565196445</v>
      </c>
      <c r="F4">
        <v>3.3094811165539501E-2</v>
      </c>
      <c r="G4">
        <v>9.7692185397065898E-3</v>
      </c>
      <c r="H4">
        <v>2.8898249948807399E-3</v>
      </c>
      <c r="I4">
        <v>8.5562175844911199E-4</v>
      </c>
      <c r="J4">
        <v>2.5343578181450202E-4</v>
      </c>
      <c r="K4" s="5">
        <v>7.5081326948882594E-5</v>
      </c>
      <c r="L4" s="5">
        <v>2.2244903736988801E-5</v>
      </c>
    </row>
    <row r="5" spans="2:13" x14ac:dyDescent="0.25">
      <c r="B5" t="s">
        <v>21</v>
      </c>
      <c r="C5">
        <v>3.24770597979628</v>
      </c>
      <c r="D5">
        <v>0.85438569634819705</v>
      </c>
      <c r="E5">
        <v>0.38418485943047698</v>
      </c>
      <c r="F5">
        <v>0.17159992158506299</v>
      </c>
      <c r="G5">
        <v>7.6432327932502805E-2</v>
      </c>
      <c r="H5">
        <v>3.4002446914268E-2</v>
      </c>
      <c r="I5">
        <v>1.5118605149050101E-2</v>
      </c>
      <c r="J5">
        <v>6.7206439222784299E-3</v>
      </c>
      <c r="K5">
        <v>2.98720234405542E-3</v>
      </c>
      <c r="L5">
        <v>1.3276947708027299E-3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Половинного деления</vt:lpstr>
      <vt:lpstr>Золотого сечения</vt:lpstr>
      <vt:lpstr>Ньютона-Рафсона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Kadarmetov</cp:lastModifiedBy>
  <dcterms:created xsi:type="dcterms:W3CDTF">2015-06-05T18:19:34Z</dcterms:created>
  <dcterms:modified xsi:type="dcterms:W3CDTF">2025-11-09T10:33:31Z</dcterms:modified>
</cp:coreProperties>
</file>