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studies\Numerical methods\LW8\"/>
    </mc:Choice>
  </mc:AlternateContent>
  <xr:revisionPtr revIDLastSave="0" documentId="13_ncr:1_{C204936C-2417-4B18-8BD6-EBD0768563FB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Половинного деления" sheetId="1" r:id="rId1"/>
    <sheet name="Золотого сечения" sheetId="2" r:id="rId2"/>
    <sheet name="Ньютона-Рафсон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3" l="1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D3" i="3"/>
  <c r="D23" i="2"/>
  <c r="J21" i="2"/>
  <c r="C21" i="2"/>
  <c r="D21" i="2"/>
  <c r="E21" i="2" s="1"/>
  <c r="F21" i="2" s="1"/>
  <c r="G21" i="2"/>
  <c r="J20" i="2"/>
  <c r="C20" i="2"/>
  <c r="D20" i="2"/>
  <c r="E20" i="2" s="1"/>
  <c r="G20" i="2" s="1"/>
  <c r="F20" i="2"/>
  <c r="J19" i="2"/>
  <c r="C19" i="2"/>
  <c r="D19" i="2"/>
  <c r="E19" i="2"/>
  <c r="F19" i="2"/>
  <c r="G19" i="2"/>
  <c r="J18" i="2"/>
  <c r="C18" i="2"/>
  <c r="D18" i="2"/>
  <c r="E18" i="2"/>
  <c r="G18" i="2" s="1"/>
  <c r="F18" i="2"/>
  <c r="J17" i="2"/>
  <c r="C17" i="2"/>
  <c r="D17" i="2"/>
  <c r="E17" i="2" s="1"/>
  <c r="F17" i="2" s="1"/>
  <c r="G17" i="2"/>
  <c r="J16" i="2"/>
  <c r="C16" i="2"/>
  <c r="D16" i="2"/>
  <c r="E16" i="2"/>
  <c r="F16" i="2"/>
  <c r="G16" i="2"/>
  <c r="J15" i="2"/>
  <c r="C15" i="2"/>
  <c r="D15" i="2"/>
  <c r="E15" i="2"/>
  <c r="G15" i="2" s="1"/>
  <c r="F15" i="2"/>
  <c r="J14" i="2"/>
  <c r="C14" i="2"/>
  <c r="D14" i="2"/>
  <c r="E14" i="2"/>
  <c r="F14" i="2"/>
  <c r="G14" i="2"/>
  <c r="J13" i="2"/>
  <c r="C13" i="2"/>
  <c r="D13" i="2"/>
  <c r="E13" i="2" s="1"/>
  <c r="G13" i="2" s="1"/>
  <c r="F13" i="2"/>
  <c r="J12" i="2"/>
  <c r="C12" i="2"/>
  <c r="D12" i="2"/>
  <c r="E12" i="2"/>
  <c r="G12" i="2" s="1"/>
  <c r="F12" i="2"/>
  <c r="J11" i="2"/>
  <c r="C11" i="2"/>
  <c r="D11" i="2"/>
  <c r="E11" i="2" s="1"/>
  <c r="F11" i="2" s="1"/>
  <c r="G11" i="2"/>
  <c r="J10" i="2"/>
  <c r="C10" i="2"/>
  <c r="D10" i="2"/>
  <c r="E10" i="2" s="1"/>
  <c r="G10" i="2" s="1"/>
  <c r="F10" i="2"/>
  <c r="J9" i="2"/>
  <c r="C9" i="2"/>
  <c r="D9" i="2"/>
  <c r="E9" i="2"/>
  <c r="F9" i="2"/>
  <c r="G9" i="2"/>
  <c r="J8" i="2"/>
  <c r="C8" i="2"/>
  <c r="D8" i="2"/>
  <c r="E8" i="2" s="1"/>
  <c r="G8" i="2" s="1"/>
  <c r="F8" i="2"/>
  <c r="J7" i="2"/>
  <c r="C7" i="2"/>
  <c r="D7" i="2"/>
  <c r="E7" i="2" s="1"/>
  <c r="G7" i="2" s="1"/>
  <c r="F7" i="2"/>
  <c r="J6" i="2"/>
  <c r="J5" i="2"/>
  <c r="C6" i="2"/>
  <c r="D6" i="2"/>
  <c r="E6" i="2"/>
  <c r="F6" i="2"/>
  <c r="G6" i="2"/>
  <c r="E4" i="2"/>
  <c r="F3" i="2"/>
  <c r="E3" i="2"/>
  <c r="E32" i="1"/>
  <c r="J30" i="1"/>
  <c r="C30" i="1"/>
  <c r="D30" i="1"/>
  <c r="E30" i="1" s="1"/>
  <c r="J29" i="1"/>
  <c r="C29" i="1"/>
  <c r="F29" i="1" s="1"/>
  <c r="D29" i="1"/>
  <c r="E29" i="1" s="1"/>
  <c r="J28" i="1"/>
  <c r="C28" i="1"/>
  <c r="D28" i="1"/>
  <c r="E28" i="1" s="1"/>
  <c r="J27" i="1"/>
  <c r="C27" i="1"/>
  <c r="D27" i="1"/>
  <c r="E27" i="1"/>
  <c r="G27" i="1" s="1"/>
  <c r="F27" i="1"/>
  <c r="J26" i="1"/>
  <c r="C26" i="1"/>
  <c r="D26" i="1"/>
  <c r="E26" i="1" s="1"/>
  <c r="J25" i="1"/>
  <c r="C25" i="1"/>
  <c r="F25" i="1" s="1"/>
  <c r="D25" i="1"/>
  <c r="E25" i="1" s="1"/>
  <c r="J24" i="1"/>
  <c r="C24" i="1"/>
  <c r="D24" i="1"/>
  <c r="E24" i="1" s="1"/>
  <c r="J23" i="1"/>
  <c r="C23" i="1"/>
  <c r="D23" i="1"/>
  <c r="E23" i="1"/>
  <c r="G23" i="1" s="1"/>
  <c r="F23" i="1"/>
  <c r="J22" i="1"/>
  <c r="F22" i="1"/>
  <c r="C22" i="1"/>
  <c r="D22" i="1"/>
  <c r="E22" i="1" s="1"/>
  <c r="J21" i="1"/>
  <c r="C21" i="1"/>
  <c r="D21" i="1"/>
  <c r="G21" i="1" s="1"/>
  <c r="E21" i="1"/>
  <c r="F21" i="1"/>
  <c r="J20" i="1"/>
  <c r="C20" i="1"/>
  <c r="D20" i="1"/>
  <c r="E20" i="1" s="1"/>
  <c r="J19" i="1"/>
  <c r="C19" i="1"/>
  <c r="D19" i="1"/>
  <c r="E19" i="1" s="1"/>
  <c r="J18" i="1"/>
  <c r="C18" i="1"/>
  <c r="D18" i="1"/>
  <c r="G18" i="1" s="1"/>
  <c r="E18" i="1"/>
  <c r="F18" i="1"/>
  <c r="J17" i="1"/>
  <c r="C17" i="1"/>
  <c r="D17" i="1"/>
  <c r="E17" i="1"/>
  <c r="G17" i="1" s="1"/>
  <c r="F17" i="1"/>
  <c r="J13" i="1"/>
  <c r="J14" i="1"/>
  <c r="J15" i="1"/>
  <c r="J16" i="1"/>
  <c r="F16" i="1"/>
  <c r="E16" i="1"/>
  <c r="E15" i="1"/>
  <c r="F15" i="1" s="1"/>
  <c r="E14" i="1"/>
  <c r="F14" i="1" s="1"/>
  <c r="G14" i="1"/>
  <c r="G13" i="1"/>
  <c r="F13" i="1"/>
  <c r="E13" i="1"/>
  <c r="J12" i="1"/>
  <c r="E12" i="1"/>
  <c r="F12" i="1" s="1"/>
  <c r="J11" i="1"/>
  <c r="E11" i="1"/>
  <c r="F11" i="1" s="1"/>
  <c r="J10" i="1"/>
  <c r="E10" i="1"/>
  <c r="F10" i="1" s="1"/>
  <c r="J9" i="1"/>
  <c r="F9" i="1"/>
  <c r="J8" i="1"/>
  <c r="E9" i="1"/>
  <c r="F8" i="1"/>
  <c r="G8" i="1"/>
  <c r="E8" i="1"/>
  <c r="F7" i="1"/>
  <c r="G7" i="1"/>
  <c r="E7" i="1"/>
  <c r="F6" i="1"/>
  <c r="G6" i="1"/>
  <c r="E6" i="1"/>
  <c r="E5" i="1"/>
  <c r="F5" i="1"/>
  <c r="G5" i="1"/>
  <c r="G4" i="1"/>
  <c r="F4" i="1"/>
  <c r="E4" i="1"/>
  <c r="C4" i="1"/>
  <c r="D4" i="1"/>
  <c r="F3" i="1"/>
  <c r="G3" i="1"/>
  <c r="E3" i="1"/>
  <c r="J3" i="1"/>
  <c r="F3" i="3"/>
  <c r="G3" i="3" s="1"/>
  <c r="H3" i="3" s="1"/>
  <c r="I3" i="3" s="1"/>
  <c r="J3" i="3" s="1"/>
  <c r="K3" i="3" s="1"/>
  <c r="E3" i="3"/>
  <c r="C4" i="2"/>
  <c r="J3" i="2"/>
  <c r="G3" i="2"/>
  <c r="D4" i="2" s="1"/>
  <c r="J4" i="2" l="1"/>
  <c r="F4" i="2"/>
  <c r="F30" i="1"/>
  <c r="G30" i="1"/>
  <c r="G29" i="1"/>
  <c r="F28" i="1"/>
  <c r="G28" i="1"/>
  <c r="F26" i="1"/>
  <c r="G26" i="1"/>
  <c r="G25" i="1"/>
  <c r="F24" i="1"/>
  <c r="G24" i="1"/>
  <c r="G22" i="1"/>
  <c r="F20" i="1"/>
  <c r="G20" i="1"/>
  <c r="F19" i="1"/>
  <c r="G19" i="1"/>
  <c r="G16" i="1"/>
  <c r="G15" i="1"/>
  <c r="G12" i="1"/>
  <c r="G11" i="1"/>
  <c r="G10" i="1"/>
  <c r="G9" i="1"/>
  <c r="D5" i="2"/>
  <c r="G4" i="2"/>
  <c r="F5" i="2" s="1"/>
  <c r="C5" i="1"/>
  <c r="C5" i="2" l="1"/>
  <c r="J4" i="1"/>
  <c r="D5" i="1"/>
  <c r="E5" i="2" l="1"/>
  <c r="G5" i="2" s="1"/>
  <c r="J5" i="1"/>
  <c r="D6" i="1"/>
  <c r="C6" i="1" l="1"/>
  <c r="D7" i="1"/>
  <c r="C7" i="1" l="1"/>
  <c r="C8" i="1" s="1"/>
  <c r="J6" i="1"/>
  <c r="D8" i="1"/>
  <c r="J7" i="1" l="1"/>
  <c r="D9" i="1"/>
  <c r="C9" i="1" l="1"/>
  <c r="D10" i="1"/>
  <c r="D11" i="1" l="1"/>
  <c r="C10" i="1"/>
  <c r="C11" i="1" l="1"/>
  <c r="D12" i="1"/>
  <c r="C12" i="1" l="1"/>
  <c r="D13" i="1"/>
  <c r="D14" i="1" l="1"/>
  <c r="C13" i="1"/>
  <c r="C14" i="1" l="1"/>
  <c r="D15" i="1"/>
  <c r="D16" i="1" l="1"/>
  <c r="C15" i="1"/>
  <c r="C16" i="1" l="1"/>
</calcChain>
</file>

<file path=xl/sharedStrings.xml><?xml version="1.0" encoding="utf-8"?>
<sst xmlns="http://schemas.openxmlformats.org/spreadsheetml/2006/main" count="30" uniqueCount="22">
  <si>
    <t>Номер итерации</t>
  </si>
  <si>
    <t>a</t>
  </si>
  <si>
    <t>b</t>
  </si>
  <si>
    <t>f(x1)</t>
  </si>
  <si>
    <t>f(x2)</t>
  </si>
  <si>
    <t>STOP</t>
  </si>
  <si>
    <t>x1 = b - c</t>
  </si>
  <si>
    <t>x2 = a + c</t>
  </si>
  <si>
    <t>c = T(b - a)</t>
  </si>
  <si>
    <t xml:space="preserve">delta </t>
  </si>
  <si>
    <t>T</t>
  </si>
  <si>
    <t xml:space="preserve">x* </t>
  </si>
  <si>
    <t>f min</t>
  </si>
  <si>
    <t>n</t>
  </si>
  <si>
    <t>x</t>
  </si>
  <si>
    <t>f'(x)</t>
  </si>
  <si>
    <t>f''(x)</t>
  </si>
  <si>
    <t>alpha</t>
  </si>
  <si>
    <t>x1 = a + alpha*(b-a)/2</t>
  </si>
  <si>
    <t>x2 = b - alpha*(b-a)/ 2</t>
  </si>
  <si>
    <t>b - a</t>
  </si>
  <si>
    <t>x*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</si>
</sst>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3"/>
  <sheetViews>
    <sheetView topLeftCell="B15" zoomScale="85" zoomScaleNormal="85" workbookViewId="0">
      <selection activeCell="E33" sqref="E33"/>
    </sheetView>
  </sheetViews>
  <sheetFormatPr defaultRowHeight="14.5" x14ac:dyDescent="0.35"/>
  <cols>
    <col min="2" max="2" width="10" customWidth="1"/>
    <col min="5" max="5" width="15.54296875" customWidth="1"/>
    <col min="6" max="6" width="14.1796875" customWidth="1"/>
    <col min="7" max="7" width="13.54296875" customWidth="1"/>
  </cols>
  <sheetData>
    <row r="2" spans="2:13" ht="29" x14ac:dyDescent="0.35">
      <c r="B2" s="1" t="s">
        <v>0</v>
      </c>
      <c r="C2" s="2" t="s">
        <v>1</v>
      </c>
      <c r="D2" s="2" t="s">
        <v>2</v>
      </c>
      <c r="E2" s="1" t="s">
        <v>20</v>
      </c>
      <c r="F2" s="1" t="s">
        <v>18</v>
      </c>
      <c r="G2" s="1" t="s">
        <v>19</v>
      </c>
      <c r="H2" s="2" t="s">
        <v>3</v>
      </c>
      <c r="I2" s="2" t="s">
        <v>4</v>
      </c>
      <c r="J2" s="2" t="s">
        <v>5</v>
      </c>
    </row>
    <row r="3" spans="2:13" x14ac:dyDescent="0.35">
      <c r="B3">
        <v>1</v>
      </c>
      <c r="C3" s="3">
        <v>0</v>
      </c>
      <c r="D3" s="3">
        <v>10</v>
      </c>
      <c r="E3" s="3">
        <f>D3 - C3</f>
        <v>10</v>
      </c>
      <c r="F3" s="3">
        <f>C3 + $M$4 * E3 / 2</f>
        <v>2.75</v>
      </c>
      <c r="G3" s="3">
        <f>D3 - $M$4 * E3 / 2</f>
        <v>7.25</v>
      </c>
      <c r="H3" s="3">
        <v>3.3265260843973801</v>
      </c>
      <c r="I3" s="3">
        <v>6.4274841079854497</v>
      </c>
      <c r="J3">
        <f>IF(D3 - C3 &lt;= 2 * $M$3, 1,0)</f>
        <v>0</v>
      </c>
      <c r="L3" t="s">
        <v>9</v>
      </c>
      <c r="M3">
        <v>1E-3</v>
      </c>
    </row>
    <row r="4" spans="2:13" x14ac:dyDescent="0.35">
      <c r="B4">
        <v>2</v>
      </c>
      <c r="C4" s="3">
        <f>IF(H3 = I3, F3, IF(H3 &gt; I3, F3, C3))</f>
        <v>0</v>
      </c>
      <c r="D4" s="3">
        <f t="shared" ref="D4:D16" si="0">IF(H3 = I3, G3, IF(H3 &lt; I3, G3, D3))</f>
        <v>7.25</v>
      </c>
      <c r="E4" s="3">
        <f>D4 - C4</f>
        <v>7.25</v>
      </c>
      <c r="F4" s="3">
        <f>C4 + $M$4 * E4 / 2</f>
        <v>1.9937500000000001</v>
      </c>
      <c r="G4" s="3">
        <f>D4 - $M$4 * E4 / 2</f>
        <v>5.2562499999999996</v>
      </c>
      <c r="H4" s="3">
        <v>4.0852353991413999</v>
      </c>
      <c r="I4" s="3">
        <v>3.1998319014809602</v>
      </c>
      <c r="J4">
        <f t="shared" ref="J3:J16" si="1">IF(D4 - C4 &lt;= 2 * $M$3, 1,0)</f>
        <v>0</v>
      </c>
      <c r="L4" t="s">
        <v>17</v>
      </c>
      <c r="M4">
        <v>0.55000000000000004</v>
      </c>
    </row>
    <row r="5" spans="2:13" x14ac:dyDescent="0.35">
      <c r="B5">
        <v>3</v>
      </c>
      <c r="C5" s="3">
        <f t="shared" ref="C4:C16" si="2">IF(H4 = I4, F4, IF(H4 &gt; I4, F4, C4))</f>
        <v>1.9937500000000001</v>
      </c>
      <c r="D5" s="3">
        <f t="shared" si="0"/>
        <v>7.25</v>
      </c>
      <c r="E5" s="3">
        <f>D5 - C5</f>
        <v>5.2562499999999996</v>
      </c>
      <c r="F5" s="3">
        <f>C5 + $M$4 * E5 / 2</f>
        <v>3.4392187500000002</v>
      </c>
      <c r="G5" s="3">
        <f>D5 - $M$4 * E5 / 2</f>
        <v>5.8045312500000001</v>
      </c>
      <c r="H5" s="3">
        <v>3.1582057744869698</v>
      </c>
      <c r="I5" s="3">
        <v>3.42896293160624</v>
      </c>
      <c r="J5">
        <f t="shared" si="1"/>
        <v>0</v>
      </c>
    </row>
    <row r="6" spans="2:13" x14ac:dyDescent="0.35">
      <c r="B6">
        <v>4</v>
      </c>
      <c r="C6" s="3">
        <f t="shared" si="2"/>
        <v>1.9937500000000001</v>
      </c>
      <c r="D6" s="3">
        <f t="shared" si="0"/>
        <v>5.8045312500000001</v>
      </c>
      <c r="E6" s="3">
        <f>D6 - C6</f>
        <v>3.8107812499999998</v>
      </c>
      <c r="F6" s="3">
        <f>C6 + $M$4 * E6 / 2</f>
        <v>3.0417148437500003</v>
      </c>
      <c r="G6" s="3">
        <f>D6 - $M$4 * E6 / 2</f>
        <v>4.7565664062500002</v>
      </c>
      <c r="H6" s="3">
        <v>3.2189964778412699</v>
      </c>
      <c r="I6" s="3">
        <v>3.1488591752617401</v>
      </c>
      <c r="J6">
        <f t="shared" si="1"/>
        <v>0</v>
      </c>
    </row>
    <row r="7" spans="2:13" x14ac:dyDescent="0.35">
      <c r="B7">
        <v>5</v>
      </c>
      <c r="C7" s="3">
        <f t="shared" si="2"/>
        <v>3.0417148437500003</v>
      </c>
      <c r="D7" s="3">
        <f t="shared" si="0"/>
        <v>5.8045312500000001</v>
      </c>
      <c r="E7" s="3">
        <f>D7 - C7</f>
        <v>2.7628164062499998</v>
      </c>
      <c r="F7" s="3">
        <f>C7 + $M$4 * E7 / 2</f>
        <v>3.8014893554687506</v>
      </c>
      <c r="G7" s="3">
        <f>D7 - $M$4 * E7 / 2</f>
        <v>5.0447567382812499</v>
      </c>
      <c r="H7" s="3">
        <v>3.1453853179167299</v>
      </c>
      <c r="I7" s="3">
        <v>3.1674303550512199</v>
      </c>
      <c r="J7">
        <f t="shared" si="1"/>
        <v>0</v>
      </c>
    </row>
    <row r="8" spans="2:13" x14ac:dyDescent="0.35">
      <c r="B8">
        <v>6</v>
      </c>
      <c r="C8" s="3">
        <f t="shared" si="2"/>
        <v>3.0417148437500003</v>
      </c>
      <c r="D8" s="3">
        <f t="shared" si="0"/>
        <v>5.0447567382812499</v>
      </c>
      <c r="E8" s="3">
        <f>D8 - C8</f>
        <v>2.0030418945312496</v>
      </c>
      <c r="F8" s="3">
        <f>C8 + $M$4 * E8 / 2</f>
        <v>3.592551364746094</v>
      </c>
      <c r="G8" s="3">
        <f>D8 - $M$4 * E8 / 2</f>
        <v>4.4939202172851562</v>
      </c>
      <c r="H8" s="3">
        <v>3.1499501788062698</v>
      </c>
      <c r="I8" s="3">
        <v>3.1447558223863901</v>
      </c>
      <c r="J8">
        <f>IF(D8 - C8 &lt;= 2 * $M$3, 1,0)</f>
        <v>0</v>
      </c>
    </row>
    <row r="9" spans="2:13" x14ac:dyDescent="0.35">
      <c r="B9">
        <v>7</v>
      </c>
      <c r="C9" s="3">
        <f t="shared" si="2"/>
        <v>3.592551364746094</v>
      </c>
      <c r="D9" s="3">
        <f t="shared" si="0"/>
        <v>5.0447567382812499</v>
      </c>
      <c r="E9" s="3">
        <f>D9 - C9</f>
        <v>1.4522053735351559</v>
      </c>
      <c r="F9" s="3">
        <f>C9 + $M$4 * E9 / 2</f>
        <v>3.9919078424682621</v>
      </c>
      <c r="G9" s="3">
        <f>D9 - $M$4 * E9 / 2</f>
        <v>4.6454002605590823</v>
      </c>
      <c r="H9" s="3">
        <v>3.1444530764908598</v>
      </c>
      <c r="I9" s="3">
        <v>3.1462545839171501</v>
      </c>
      <c r="J9">
        <f>IF(D9 - C9 &lt;= 2 * $M$3, 1,0)</f>
        <v>0</v>
      </c>
    </row>
    <row r="10" spans="2:13" x14ac:dyDescent="0.35">
      <c r="B10">
        <v>8</v>
      </c>
      <c r="C10" s="3">
        <f t="shared" si="2"/>
        <v>3.592551364746094</v>
      </c>
      <c r="D10" s="3">
        <f t="shared" si="0"/>
        <v>4.6454002605590823</v>
      </c>
      <c r="E10" s="3">
        <f>D10 - C10</f>
        <v>1.0528488958129882</v>
      </c>
      <c r="F10" s="3">
        <f>C10 + $M$4 * E10 / 2</f>
        <v>3.882084811094666</v>
      </c>
      <c r="G10" s="3">
        <f>D10 - $M$4 * E10 / 2</f>
        <v>4.3558668142105104</v>
      </c>
      <c r="H10" s="3">
        <v>3.1447806077434</v>
      </c>
      <c r="I10" s="3">
        <v>3.14441778873466</v>
      </c>
      <c r="J10">
        <f>IF(D10 - C10 &lt;= 2 * $M$3, 1,0)</f>
        <v>0</v>
      </c>
    </row>
    <row r="11" spans="2:13" x14ac:dyDescent="0.35">
      <c r="B11">
        <v>9</v>
      </c>
      <c r="C11" s="3">
        <f t="shared" si="2"/>
        <v>3.882084811094666</v>
      </c>
      <c r="D11" s="3">
        <f t="shared" si="0"/>
        <v>4.6454002605590823</v>
      </c>
      <c r="E11" s="3">
        <f>D11 - C11</f>
        <v>0.76331544946441632</v>
      </c>
      <c r="F11" s="3">
        <f>C11 + $M$4 * E11 / 2</f>
        <v>4.0919965596973809</v>
      </c>
      <c r="G11" s="3">
        <f>D11 - $M$4 * E11 / 2</f>
        <v>4.4354885119563674</v>
      </c>
      <c r="H11" s="3">
        <v>3.1443891453137098</v>
      </c>
      <c r="I11" s="3">
        <v>3.1445427215405899</v>
      </c>
      <c r="J11">
        <f>IF(D11 - C11 &lt;= 2 * $M$3, 1,0)</f>
        <v>0</v>
      </c>
    </row>
    <row r="12" spans="2:13" x14ac:dyDescent="0.35">
      <c r="B12">
        <v>10</v>
      </c>
      <c r="C12" s="3">
        <f t="shared" si="2"/>
        <v>3.882084811094666</v>
      </c>
      <c r="D12" s="3">
        <f t="shared" si="0"/>
        <v>4.4354885119563674</v>
      </c>
      <c r="E12" s="3">
        <f>D12 - C12</f>
        <v>0.55340370086170143</v>
      </c>
      <c r="F12" s="3">
        <f>C12 + $M$4 * E12 / 2</f>
        <v>4.0342708288316338</v>
      </c>
      <c r="G12" s="3">
        <f>D12 - $M$4 * E12 / 2</f>
        <v>4.2833024942193996</v>
      </c>
      <c r="H12" s="3">
        <v>3.1444110947472299</v>
      </c>
      <c r="I12" s="3">
        <v>3.1443882781164998</v>
      </c>
      <c r="J12">
        <f>IF(D12 - C12 &lt;= 2 * $M$3, 1,0)</f>
        <v>0</v>
      </c>
    </row>
    <row r="13" spans="2:13" x14ac:dyDescent="0.35">
      <c r="B13">
        <v>11</v>
      </c>
      <c r="C13" s="3">
        <f t="shared" si="2"/>
        <v>4.0342708288316338</v>
      </c>
      <c r="D13" s="3">
        <f t="shared" si="0"/>
        <v>4.4354885119563674</v>
      </c>
      <c r="E13" s="3">
        <f>D13 - C13</f>
        <v>0.4012176831247336</v>
      </c>
      <c r="F13" s="3">
        <f>C13 + $M$4 * E13 / 2</f>
        <v>4.144605691690936</v>
      </c>
      <c r="G13" s="3">
        <f>D13 - $M$4 * E13 / 2</f>
        <v>4.3251536490970652</v>
      </c>
      <c r="H13" s="3">
        <v>3.14438522058009</v>
      </c>
      <c r="I13">
        <v>3.1443994310708101</v>
      </c>
      <c r="J13">
        <f t="shared" ref="J13:J30" si="3">IF(D13 - C13 &lt;= 2 * $M$3, 1,0)</f>
        <v>0</v>
      </c>
    </row>
    <row r="14" spans="2:13" x14ac:dyDescent="0.35">
      <c r="B14">
        <v>12</v>
      </c>
      <c r="C14" s="3">
        <f t="shared" si="2"/>
        <v>4.0342708288316338</v>
      </c>
      <c r="D14" s="3">
        <f t="shared" si="0"/>
        <v>4.3251536490970652</v>
      </c>
      <c r="E14" s="3">
        <f>D14 - C14</f>
        <v>0.29088282026543144</v>
      </c>
      <c r="F14" s="3">
        <f>C14 + $M$4 * E14 / 2</f>
        <v>4.114263604404627</v>
      </c>
      <c r="G14" s="3">
        <f>D14 - $M$4 * E14 / 2</f>
        <v>4.245160873524072</v>
      </c>
      <c r="H14">
        <v>3.14438650461874</v>
      </c>
      <c r="I14">
        <v>3.1443854183951099</v>
      </c>
      <c r="J14">
        <f t="shared" si="3"/>
        <v>0</v>
      </c>
    </row>
    <row r="15" spans="2:13" x14ac:dyDescent="0.35">
      <c r="B15">
        <v>13</v>
      </c>
      <c r="C15" s="3">
        <f t="shared" si="2"/>
        <v>4.114263604404627</v>
      </c>
      <c r="D15" s="3">
        <f t="shared" si="0"/>
        <v>4.3251536490970652</v>
      </c>
      <c r="E15" s="3">
        <f>D15 - C15</f>
        <v>0.21089004469243822</v>
      </c>
      <c r="F15" s="3">
        <f>C15 + $M$4 * E15 / 2</f>
        <v>4.1722583666950479</v>
      </c>
      <c r="G15" s="3">
        <f>D15 - $M$4 * E15 / 2</f>
        <v>4.2671588868066443</v>
      </c>
      <c r="H15">
        <v>3.14438503156101</v>
      </c>
      <c r="I15">
        <v>3.1443865412218202</v>
      </c>
      <c r="J15">
        <f t="shared" si="3"/>
        <v>0</v>
      </c>
    </row>
    <row r="16" spans="2:13" x14ac:dyDescent="0.35">
      <c r="B16">
        <v>14</v>
      </c>
      <c r="C16" s="3">
        <f t="shared" si="2"/>
        <v>4.114263604404627</v>
      </c>
      <c r="D16" s="3">
        <f t="shared" si="0"/>
        <v>4.2671588868066443</v>
      </c>
      <c r="E16" s="3">
        <f>D16 - C16</f>
        <v>0.15289528240201733</v>
      </c>
      <c r="F16" s="3">
        <f>C16 + $M$4 * E16 / 2</f>
        <v>4.156309807065182</v>
      </c>
      <c r="G16" s="3">
        <f>D16 - $M$4 * E16 / 2</f>
        <v>4.2251126841460893</v>
      </c>
      <c r="H16">
        <v>3.1443850864237</v>
      </c>
      <c r="I16">
        <v>3.14438508975894</v>
      </c>
      <c r="J16">
        <f t="shared" si="3"/>
        <v>0</v>
      </c>
    </row>
    <row r="17" spans="2:10" x14ac:dyDescent="0.35">
      <c r="B17">
        <v>15</v>
      </c>
      <c r="C17" s="3">
        <f t="shared" ref="C17" si="4">IF(H16 = I16, F16, IF(H16 &gt; I16, F16, C16))</f>
        <v>4.114263604404627</v>
      </c>
      <c r="D17" s="3">
        <f t="shared" ref="D17" si="5">IF(H16 = I16, G16, IF(H16 &lt; I16, G16, D16))</f>
        <v>4.2251126841460893</v>
      </c>
      <c r="E17" s="3">
        <f>D17 - C17</f>
        <v>0.1108490797414623</v>
      </c>
      <c r="F17" s="3">
        <f>C17 + $M$4 * E17 / 2</f>
        <v>4.1447471013335289</v>
      </c>
      <c r="G17" s="3">
        <f>D17 - $M$4 * E17 / 2</f>
        <v>4.1946291872171875</v>
      </c>
      <c r="H17">
        <v>3.1443852182242402</v>
      </c>
      <c r="I17">
        <v>3.1443850267510101</v>
      </c>
      <c r="J17">
        <f t="shared" si="3"/>
        <v>0</v>
      </c>
    </row>
    <row r="18" spans="2:10" x14ac:dyDescent="0.35">
      <c r="B18">
        <v>16</v>
      </c>
      <c r="C18" s="3">
        <f t="shared" ref="C18" si="6">IF(H17 = I17, F17, IF(H17 &gt; I17, F17, C17))</f>
        <v>4.1447471013335289</v>
      </c>
      <c r="D18" s="3">
        <f t="shared" ref="D18" si="7">IF(H17 = I17, G17, IF(H17 &lt; I17, G17, D17))</f>
        <v>4.2251126841460893</v>
      </c>
      <c r="E18" s="3">
        <f>D18 - C18</f>
        <v>8.0365582812560454E-2</v>
      </c>
      <c r="F18" s="3">
        <f>C18 + $M$4 * E18 / 2</f>
        <v>4.1668476366069829</v>
      </c>
      <c r="G18" s="3">
        <f>D18 - $M$4 * E18 / 2</f>
        <v>4.2030121488726353</v>
      </c>
      <c r="H18">
        <v>3.1443850403857998</v>
      </c>
      <c r="I18">
        <v>3.1443850278189598</v>
      </c>
      <c r="J18">
        <f t="shared" si="3"/>
        <v>0</v>
      </c>
    </row>
    <row r="19" spans="2:10" x14ac:dyDescent="0.35">
      <c r="B19">
        <v>17</v>
      </c>
      <c r="C19" s="3">
        <f t="shared" ref="C19" si="8">IF(H18 = I18, F18, IF(H18 &gt; I18, F18, C18))</f>
        <v>4.1668476366069829</v>
      </c>
      <c r="D19" s="3">
        <f t="shared" ref="D19" si="9">IF(H18 = I18, G18, IF(H18 &lt; I18, G18, D18))</f>
        <v>4.2251126841460893</v>
      </c>
      <c r="E19" s="3">
        <f>D19 - C19</f>
        <v>5.826504753910644E-2</v>
      </c>
      <c r="F19" s="3">
        <f>C19 + $M$4 * E19 / 2</f>
        <v>4.1828705246802373</v>
      </c>
      <c r="G19" s="3">
        <f>D19 - $M$4 * E19 / 2</f>
        <v>4.2090897960728348</v>
      </c>
      <c r="H19">
        <v>3.1443850268845801</v>
      </c>
      <c r="I19">
        <v>3.1443850319961002</v>
      </c>
      <c r="J19">
        <f t="shared" si="3"/>
        <v>0</v>
      </c>
    </row>
    <row r="20" spans="2:10" x14ac:dyDescent="0.35">
      <c r="B20">
        <v>18</v>
      </c>
      <c r="C20" s="3">
        <f t="shared" ref="C20" si="10">IF(H19 = I19, F19, IF(H19 &gt; I19, F19, C19))</f>
        <v>4.1668476366069829</v>
      </c>
      <c r="D20" s="3">
        <f t="shared" ref="D20" si="11">IF(H19 = I19, G19, IF(H19 &lt; I19, G19, D19))</f>
        <v>4.2090897960728348</v>
      </c>
      <c r="E20" s="3">
        <f>D20 - C20</f>
        <v>4.2242159465851969E-2</v>
      </c>
      <c r="F20" s="3">
        <f>C20 + $M$4 * E20 / 2</f>
        <v>4.1784642304600919</v>
      </c>
      <c r="G20" s="3">
        <f>D20 - $M$4 * E20 / 2</f>
        <v>4.1974732022197259</v>
      </c>
      <c r="H20">
        <v>3.14438502765115</v>
      </c>
      <c r="I20">
        <v>3.1443850268427598</v>
      </c>
      <c r="J20">
        <f t="shared" si="3"/>
        <v>0</v>
      </c>
    </row>
    <row r="21" spans="2:10" x14ac:dyDescent="0.35">
      <c r="B21">
        <v>19</v>
      </c>
      <c r="C21" s="3">
        <f t="shared" ref="C21" si="12">IF(H20 = I20, F20, IF(H20 &gt; I20, F20, C20))</f>
        <v>4.1784642304600919</v>
      </c>
      <c r="D21" s="3">
        <f t="shared" ref="D21" si="13">IF(H20 = I20, G20, IF(H20 &lt; I20, G20, D20))</f>
        <v>4.2090897960728348</v>
      </c>
      <c r="E21" s="3">
        <f>D21 - C21</f>
        <v>3.0625565612742989E-2</v>
      </c>
      <c r="F21" s="3">
        <f>C21 + $M$4 * E21 / 2</f>
        <v>4.186886261003596</v>
      </c>
      <c r="G21" s="3">
        <f>D21 - $M$4 * E21 / 2</f>
        <v>4.2006677655293307</v>
      </c>
      <c r="H21">
        <v>3.1443850267452098</v>
      </c>
      <c r="I21">
        <v>3.1443850272109399</v>
      </c>
      <c r="J21">
        <f t="shared" si="3"/>
        <v>0</v>
      </c>
    </row>
    <row r="22" spans="2:10" x14ac:dyDescent="0.35">
      <c r="B22">
        <v>20</v>
      </c>
      <c r="C22" s="3">
        <f t="shared" ref="C22" si="14">IF(H21 = I21, F21, IF(H21 &gt; I21, F21, C21))</f>
        <v>4.1784642304600919</v>
      </c>
      <c r="D22" s="3">
        <f t="shared" ref="D22" si="15">IF(H21 = I21, G21, IF(H21 &lt; I21, G21, D21))</f>
        <v>4.2006677655293307</v>
      </c>
      <c r="E22" s="3">
        <f>D22 - C22</f>
        <v>2.2203535069238889E-2</v>
      </c>
      <c r="F22" s="3">
        <f>C22 + $M$4 * E22 / 2</f>
        <v>4.1845702026041325</v>
      </c>
      <c r="G22" s="3">
        <f>D22 - $M$4 * E22 / 2</f>
        <v>4.1945617933852901</v>
      </c>
      <c r="H22">
        <v>3.1443850267912699</v>
      </c>
      <c r="I22">
        <v>3.1443850267501499</v>
      </c>
      <c r="J22">
        <f t="shared" si="3"/>
        <v>0</v>
      </c>
    </row>
    <row r="23" spans="2:10" x14ac:dyDescent="0.35">
      <c r="B23">
        <v>21</v>
      </c>
      <c r="C23" s="3">
        <f t="shared" ref="C23" si="16">IF(H22 = I22, F22, IF(H22 &gt; I22, F22, C22))</f>
        <v>4.1845702026041325</v>
      </c>
      <c r="D23" s="3">
        <f t="shared" ref="D23" si="17">IF(H22 = I22, G22, IF(H22 &lt; I22, G22, D22))</f>
        <v>4.2006677655293307</v>
      </c>
      <c r="E23" s="3">
        <f>D23 - C23</f>
        <v>1.6097562925198261E-2</v>
      </c>
      <c r="F23" s="3">
        <f>C23 + $M$4 * E23 / 2</f>
        <v>4.1889970324085617</v>
      </c>
      <c r="G23" s="3">
        <f>D23 - $M$4 * E23 / 2</f>
        <v>4.1962409357249015</v>
      </c>
      <c r="H23">
        <v>3.1443850267381799</v>
      </c>
      <c r="I23">
        <v>3.1443850267863098</v>
      </c>
      <c r="J23">
        <f t="shared" si="3"/>
        <v>0</v>
      </c>
    </row>
    <row r="24" spans="2:10" x14ac:dyDescent="0.35">
      <c r="B24">
        <v>22</v>
      </c>
      <c r="C24" s="3">
        <f t="shared" ref="C24" si="18">IF(H23 = I23, F23, IF(H23 &gt; I23, F23, C23))</f>
        <v>4.1845702026041325</v>
      </c>
      <c r="D24" s="3">
        <f t="shared" ref="D24" si="19">IF(H23 = I23, G23, IF(H23 &lt; I23, G23, D23))</f>
        <v>4.1962409357249015</v>
      </c>
      <c r="E24" s="3">
        <f>D24 - C24</f>
        <v>1.167073312076905E-2</v>
      </c>
      <c r="F24" s="3">
        <f>C24 + $M$4 * E24 / 2</f>
        <v>4.1877796542123438</v>
      </c>
      <c r="G24" s="3">
        <f>D24 - $M$4 * E24 / 2</f>
        <v>4.1930314841166902</v>
      </c>
      <c r="H24">
        <v>3.14438502674028</v>
      </c>
      <c r="I24">
        <v>3.1443850267398301</v>
      </c>
      <c r="J24">
        <f t="shared" si="3"/>
        <v>0</v>
      </c>
    </row>
    <row r="25" spans="2:10" x14ac:dyDescent="0.35">
      <c r="B25">
        <v>23</v>
      </c>
      <c r="C25" s="3">
        <f t="shared" ref="C25" si="20">IF(H24 = I24, F24, IF(H24 &gt; I24, F24, C24))</f>
        <v>4.1877796542123438</v>
      </c>
      <c r="D25" s="3">
        <f t="shared" ref="D25" si="21">IF(H24 = I24, G24, IF(H24 &lt; I24, G24, D24))</f>
        <v>4.1962409357249015</v>
      </c>
      <c r="E25" s="3">
        <f>D25 - C25</f>
        <v>8.4612815125577612E-3</v>
      </c>
      <c r="F25" s="3">
        <f>C25 + $M$4 * E25 / 2</f>
        <v>4.1901065066282968</v>
      </c>
      <c r="G25" s="3">
        <f>D25 - $M$4 * E25 / 2</f>
        <v>4.1939140833089485</v>
      </c>
      <c r="H25">
        <v>3.1443850267379698</v>
      </c>
      <c r="I25">
        <v>3.1443850267440601</v>
      </c>
      <c r="J25">
        <f t="shared" si="3"/>
        <v>0</v>
      </c>
    </row>
    <row r="26" spans="2:10" x14ac:dyDescent="0.35">
      <c r="B26">
        <v>24</v>
      </c>
      <c r="C26" s="3">
        <f t="shared" ref="C26" si="22">IF(H25 = I25, F25, IF(H25 &gt; I25, F25, C25))</f>
        <v>4.1877796542123438</v>
      </c>
      <c r="D26" s="3">
        <f t="shared" ref="D26" si="23">IF(H25 = I25, G25, IF(H25 &lt; I25, G25, D25))</f>
        <v>4.1939140833089485</v>
      </c>
      <c r="E26" s="3">
        <f>D26 - C26</f>
        <v>6.1344290966047765E-3</v>
      </c>
      <c r="F26" s="3">
        <f>C26 + $M$4 * E26 / 2</f>
        <v>4.1894666222139101</v>
      </c>
      <c r="G26" s="3">
        <f>D26 - $M$4 * E26 / 2</f>
        <v>4.1922271153073822</v>
      </c>
      <c r="H26">
        <v>3.1443850267380098</v>
      </c>
      <c r="I26">
        <v>3.1443850267383802</v>
      </c>
      <c r="J26">
        <f t="shared" si="3"/>
        <v>0</v>
      </c>
    </row>
    <row r="27" spans="2:10" x14ac:dyDescent="0.35">
      <c r="B27">
        <v>25</v>
      </c>
      <c r="C27" s="3">
        <f t="shared" ref="C27" si="24">IF(H26 = I26, F26, IF(H26 &gt; I26, F26, C26))</f>
        <v>4.1877796542123438</v>
      </c>
      <c r="D27" s="3">
        <f t="shared" ref="D27" si="25">IF(H26 = I26, G26, IF(H26 &lt; I26, G26, D26))</f>
        <v>4.1922271153073822</v>
      </c>
      <c r="E27" s="3">
        <f>D27 - C27</f>
        <v>4.447461095038463E-3</v>
      </c>
      <c r="F27" s="3">
        <f>C27 + $M$4 * E27 / 2</f>
        <v>4.1890027060134791</v>
      </c>
      <c r="G27" s="3">
        <f>D27 - $M$4 * E27 / 2</f>
        <v>4.1910040635062469</v>
      </c>
      <c r="H27">
        <v>3.1443850267381799</v>
      </c>
      <c r="I27">
        <v>3.1443850267379698</v>
      </c>
      <c r="J27">
        <f t="shared" si="3"/>
        <v>0</v>
      </c>
    </row>
    <row r="28" spans="2:10" x14ac:dyDescent="0.35">
      <c r="B28">
        <v>26</v>
      </c>
      <c r="C28" s="3">
        <f t="shared" ref="C28" si="26">IF(H27 = I27, F27, IF(H27 &gt; I27, F27, C27))</f>
        <v>4.1890027060134791</v>
      </c>
      <c r="D28" s="3">
        <f t="shared" ref="D28" si="27">IF(H27 = I27, G27, IF(H27 &lt; I27, G27, D27))</f>
        <v>4.1922271153073822</v>
      </c>
      <c r="E28" s="3">
        <f>D28 - C28</f>
        <v>3.2244092939031077E-3</v>
      </c>
      <c r="F28" s="3">
        <f>C28 + $M$4 * E28 / 2</f>
        <v>4.1898894185693027</v>
      </c>
      <c r="G28" s="3">
        <f>D28 - $M$4 * E28 / 2</f>
        <v>4.1913404027515586</v>
      </c>
      <c r="H28">
        <v>3.1443850267379698</v>
      </c>
      <c r="I28">
        <v>3.1443850267379898</v>
      </c>
      <c r="J28">
        <f t="shared" si="3"/>
        <v>0</v>
      </c>
    </row>
    <row r="29" spans="2:10" x14ac:dyDescent="0.35">
      <c r="B29">
        <v>27</v>
      </c>
      <c r="C29" s="3">
        <f t="shared" ref="C29" si="28">IF(H28 = I28, F28, IF(H28 &gt; I28, F28, C28))</f>
        <v>4.1890027060134791</v>
      </c>
      <c r="D29" s="3">
        <f t="shared" ref="D29" si="29">IF(H28 = I28, G28, IF(H28 &lt; I28, G28, D28))</f>
        <v>4.1913404027515586</v>
      </c>
      <c r="E29" s="3">
        <f>D29 - C29</f>
        <v>2.3376967380794866E-3</v>
      </c>
      <c r="F29" s="3">
        <f>C29 + $M$4 * E29 / 2</f>
        <v>4.1896455726164508</v>
      </c>
      <c r="G29" s="3">
        <f>D29 - $M$4 * E29 / 2</f>
        <v>4.190697536148587</v>
      </c>
      <c r="H29">
        <v>3.1443850267379898</v>
      </c>
      <c r="I29">
        <v>3.1443850267379698</v>
      </c>
      <c r="J29">
        <f t="shared" si="3"/>
        <v>0</v>
      </c>
    </row>
    <row r="30" spans="2:10" x14ac:dyDescent="0.35">
      <c r="B30">
        <v>28</v>
      </c>
      <c r="C30" s="3">
        <f t="shared" ref="C30" si="30">IF(H29 = I29, F29, IF(H29 &gt; I29, F29, C29))</f>
        <v>4.1896455726164508</v>
      </c>
      <c r="D30" s="3">
        <f t="shared" ref="D30" si="31">IF(H29 = I29, G29, IF(H29 &lt; I29, G29, D29))</f>
        <v>4.1913404027515586</v>
      </c>
      <c r="E30" s="3">
        <f>D30 - C30</f>
        <v>1.6948301351078499E-3</v>
      </c>
      <c r="F30" s="3">
        <f>C30 + $M$4 * E30 / 2</f>
        <v>4.1901116509036056</v>
      </c>
      <c r="G30" s="3">
        <f>D30 - $M$4 * E30 / 2</f>
        <v>4.1908743244644038</v>
      </c>
      <c r="H30">
        <v>3.1443850267379698</v>
      </c>
      <c r="I30">
        <v>3.1443850267379698</v>
      </c>
      <c r="J30">
        <f t="shared" si="3"/>
        <v>1</v>
      </c>
    </row>
    <row r="32" spans="2:10" x14ac:dyDescent="0.35">
      <c r="D32" t="s">
        <v>11</v>
      </c>
      <c r="E32" s="3">
        <f>(C30+D30) / 2</f>
        <v>4.1904929876840047</v>
      </c>
    </row>
    <row r="33" spans="4:5" x14ac:dyDescent="0.35">
      <c r="D33" t="s">
        <v>12</v>
      </c>
      <c r="E33">
        <v>3.1443850267379698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27C1-59F4-4BF1-A55C-F14E0A90BF7E}">
  <dimension ref="B2:M24"/>
  <sheetViews>
    <sheetView topLeftCell="A18" workbookViewId="0">
      <selection activeCell="F25" sqref="F25"/>
    </sheetView>
  </sheetViews>
  <sheetFormatPr defaultRowHeight="14.5" x14ac:dyDescent="0.35"/>
  <cols>
    <col min="2" max="2" width="10.26953125" customWidth="1"/>
    <col min="4" max="4" width="11.1796875" customWidth="1"/>
    <col min="5" max="5" width="10.453125" customWidth="1"/>
    <col min="6" max="6" width="11.26953125" customWidth="1"/>
  </cols>
  <sheetData>
    <row r="2" spans="2:13" ht="29" x14ac:dyDescent="0.35">
      <c r="B2" s="1" t="s">
        <v>0</v>
      </c>
      <c r="C2" s="2" t="s">
        <v>1</v>
      </c>
      <c r="D2" s="2" t="s">
        <v>2</v>
      </c>
      <c r="E2" s="1" t="s">
        <v>8</v>
      </c>
      <c r="F2" s="1" t="s">
        <v>6</v>
      </c>
      <c r="G2" s="2" t="s">
        <v>7</v>
      </c>
      <c r="H2" s="2" t="s">
        <v>3</v>
      </c>
      <c r="I2" s="2" t="s">
        <v>4</v>
      </c>
      <c r="J2" s="2" t="s">
        <v>5</v>
      </c>
    </row>
    <row r="3" spans="2:13" x14ac:dyDescent="0.35">
      <c r="C3" s="3">
        <v>0</v>
      </c>
      <c r="D3" s="3">
        <v>10</v>
      </c>
      <c r="E3" s="3">
        <f>$M$4 * (D3-C3)</f>
        <v>6.1803399999999993</v>
      </c>
      <c r="F3" s="3">
        <f>D3-E3</f>
        <v>3.8196600000000007</v>
      </c>
      <c r="G3" s="3">
        <f>C3+E3</f>
        <v>6.1803399999999993</v>
      </c>
      <c r="H3" s="3">
        <v>3.1452113026555701</v>
      </c>
      <c r="I3" s="3">
        <v>3.7870562074938001</v>
      </c>
      <c r="J3" s="3">
        <f t="shared" ref="J3:J10" si="0">IF(OR(D3-C3 &lt;= 2 * $M$3, H3=I3), 1, 0)</f>
        <v>0</v>
      </c>
      <c r="L3" t="s">
        <v>9</v>
      </c>
      <c r="M3">
        <v>1E-3</v>
      </c>
    </row>
    <row r="4" spans="2:13" x14ac:dyDescent="0.35">
      <c r="C4" s="3">
        <f t="shared" ref="C4:C10" si="1">IF(H3&gt;I3, F3,C3)</f>
        <v>0</v>
      </c>
      <c r="D4" s="3">
        <f t="shared" ref="D4:D10" si="2">IF(H3&lt;I3,G3,D3)</f>
        <v>6.1803399999999993</v>
      </c>
      <c r="E4" s="3">
        <f>$M$4 * (D4-C4)</f>
        <v>3.8196602515599993</v>
      </c>
      <c r="F4" s="3">
        <f t="shared" ref="F4:F10" si="3">IF(H3&gt;I3,G3, D4 - E4)</f>
        <v>2.3606797484399999</v>
      </c>
      <c r="G4" s="3">
        <f t="shared" ref="G4:G10" si="4">IF(H3 &lt; I3, F3, C4 + E4)</f>
        <v>3.8196600000000007</v>
      </c>
      <c r="H4" s="3">
        <v>3.60862578045053</v>
      </c>
      <c r="I4" s="3">
        <v>3.1452113026555701</v>
      </c>
      <c r="J4" s="3">
        <f t="shared" si="0"/>
        <v>0</v>
      </c>
      <c r="L4" t="s">
        <v>10</v>
      </c>
      <c r="M4">
        <v>0.61803399999999997</v>
      </c>
    </row>
    <row r="5" spans="2:13" x14ac:dyDescent="0.35">
      <c r="C5" s="3">
        <f>IF(H4&gt;I4, F4,C4)</f>
        <v>2.3606797484399999</v>
      </c>
      <c r="D5" s="3">
        <f t="shared" si="2"/>
        <v>6.1803399999999993</v>
      </c>
      <c r="E5" s="3">
        <f t="shared" ref="E3:E10" si="5">$M$4 * (D5-C5)</f>
        <v>2.3606799039126325</v>
      </c>
      <c r="F5" s="3">
        <f t="shared" si="3"/>
        <v>3.8196600000000007</v>
      </c>
      <c r="G5" s="3">
        <f t="shared" si="4"/>
        <v>4.721359652352632</v>
      </c>
      <c r="H5" s="3">
        <v>3.1452113026555701</v>
      </c>
      <c r="I5" s="3">
        <v>3.1478478968765198</v>
      </c>
      <c r="J5" s="3">
        <f>IF(OR(D5-C5 &lt;= 2 * $M$3, H5=I5), 1, 0)</f>
        <v>0</v>
      </c>
    </row>
    <row r="6" spans="2:13" x14ac:dyDescent="0.35">
      <c r="C6" s="3">
        <f>IF(H5&gt;I5, F5,C5)</f>
        <v>2.3606797484399999</v>
      </c>
      <c r="D6" s="3">
        <f t="shared" ref="D6" si="6">IF(H5&lt;I5,G5,D5)</f>
        <v>4.721359652352632</v>
      </c>
      <c r="E6" s="3">
        <f t="shared" ref="E6" si="7">$M$4 * (D6-C6)</f>
        <v>1.4589804437347396</v>
      </c>
      <c r="F6" s="3">
        <f t="shared" ref="F6" si="8">IF(H5&gt;I5,G5, D6 - E6)</f>
        <v>3.2623792086178924</v>
      </c>
      <c r="G6" s="3">
        <f t="shared" ref="G6" si="9">IF(H5 &lt; I5, F5, C6 + E6)</f>
        <v>3.8196600000000007</v>
      </c>
      <c r="H6" s="3">
        <v>3.1764173082638099</v>
      </c>
      <c r="I6" s="3">
        <v>3.1452113026555701</v>
      </c>
      <c r="J6" s="3">
        <f>IF(OR(D6-C6 &lt;= 2 * $M$3, H6=I6), 1, 0)</f>
        <v>0</v>
      </c>
    </row>
    <row r="7" spans="2:13" x14ac:dyDescent="0.35">
      <c r="C7" s="3">
        <f>IF(H6&gt;I6, F6,C6)</f>
        <v>3.2623792086178924</v>
      </c>
      <c r="D7" s="3">
        <f t="shared" ref="D7" si="10">IF(H6&lt;I6,G6,D6)</f>
        <v>4.721359652352632</v>
      </c>
      <c r="E7" s="3">
        <f t="shared" ref="E7" si="11">$M$4 * (D7-C7)</f>
        <v>0.90169951956315597</v>
      </c>
      <c r="F7" s="3">
        <f t="shared" ref="F7" si="12">IF(H6&gt;I6,G6, D7 - E7)</f>
        <v>3.8196600000000007</v>
      </c>
      <c r="G7" s="3">
        <f t="shared" ref="G7" si="13">IF(H6 &lt; I6, F6, C7 + E7)</f>
        <v>4.1640787281810487</v>
      </c>
      <c r="H7" s="3">
        <v>3.1452113026555701</v>
      </c>
      <c r="I7" s="3">
        <v>3.1443850480023499</v>
      </c>
      <c r="J7" s="3">
        <f>IF(OR(D7-C7 &lt;= 2 * $M$3, H7=I7), 1, 0)</f>
        <v>0</v>
      </c>
    </row>
    <row r="8" spans="2:13" x14ac:dyDescent="0.35">
      <c r="C8" s="3">
        <f>IF(H7&gt;I7, F7,C7)</f>
        <v>3.8196600000000007</v>
      </c>
      <c r="D8" s="3">
        <f t="shared" ref="D8" si="14">IF(H7&lt;I7,G7,D7)</f>
        <v>4.721359652352632</v>
      </c>
      <c r="E8" s="3">
        <f t="shared" ref="E8" si="15">$M$4 * (D8-C8)</f>
        <v>0.55728104294210612</v>
      </c>
      <c r="F8" s="3">
        <f t="shared" ref="F8" si="16">IF(H7&gt;I7,G7, D8 - E8)</f>
        <v>4.1640787281810487</v>
      </c>
      <c r="G8" s="3">
        <f t="shared" ref="G8" si="17">IF(H7 &lt; I7, F7, C8 + E8)</f>
        <v>4.3769410429421072</v>
      </c>
      <c r="H8" s="3">
        <v>3.1443850480023499</v>
      </c>
      <c r="I8" s="3">
        <v>3.1444379464559198</v>
      </c>
      <c r="J8" s="3">
        <f>IF(OR(D8-C8 &lt;= 2 * $M$3, H8=I8), 1, 0)</f>
        <v>0</v>
      </c>
    </row>
    <row r="9" spans="2:13" x14ac:dyDescent="0.35">
      <c r="C9" s="3">
        <f>IF(H8&gt;I8, F8,C8)</f>
        <v>3.8196600000000007</v>
      </c>
      <c r="D9" s="3">
        <f t="shared" ref="D9" si="18">IF(H8&lt;I8,G8,D8)</f>
        <v>4.3769410429421072</v>
      </c>
      <c r="E9" s="3">
        <f t="shared" ref="E9" si="19">$M$4 * (D9-C9)</f>
        <v>0.34441863209368179</v>
      </c>
      <c r="F9" s="3">
        <f t="shared" ref="F9" si="20">IF(H8&gt;I8,G8, D9 - E9)</f>
        <v>4.0325224108484257</v>
      </c>
      <c r="G9" s="3">
        <f t="shared" ref="G9" si="21">IF(H8 &lt; I8, F8, C9 + E9)</f>
        <v>4.1640787281810487</v>
      </c>
      <c r="H9" s="3">
        <v>3.14441228244789</v>
      </c>
      <c r="I9" s="3">
        <v>3.1443850480023499</v>
      </c>
      <c r="J9" s="3">
        <f>IF(OR(D9-C9 &lt;= 2 * $M$3, H9=I9), 1, 0)</f>
        <v>0</v>
      </c>
    </row>
    <row r="10" spans="2:13" x14ac:dyDescent="0.35">
      <c r="C10" s="3">
        <f>IF(H9&gt;I9, F9,C9)</f>
        <v>4.0325224108484257</v>
      </c>
      <c r="D10" s="3">
        <f t="shared" ref="D10" si="22">IF(H9&lt;I9,G9,D9)</f>
        <v>4.3769410429421072</v>
      </c>
      <c r="E10" s="3">
        <f t="shared" ref="E10" si="23">$M$4 * (D10-C10)</f>
        <v>0.21286242486738635</v>
      </c>
      <c r="F10" s="3">
        <f t="shared" ref="F10" si="24">IF(H9&gt;I9,G9, D10 - E10)</f>
        <v>4.1640787281810487</v>
      </c>
      <c r="G10" s="3">
        <f t="shared" ref="G10" si="25">IF(H9 &lt; I9, F9, C10 + E10)</f>
        <v>4.2453848357158117</v>
      </c>
      <c r="H10" s="3">
        <v>3.1443850480023499</v>
      </c>
      <c r="I10" s="3">
        <v>3.1443854247358298</v>
      </c>
      <c r="J10" s="3">
        <f>IF(OR(D10-C10 &lt;= 2 * $M$3, H10=I10), 1, 0)</f>
        <v>0</v>
      </c>
    </row>
    <row r="11" spans="2:13" x14ac:dyDescent="0.35">
      <c r="C11" s="3">
        <f>IF(H10&gt;I10, F10,C10)</f>
        <v>4.0325224108484257</v>
      </c>
      <c r="D11" s="3">
        <f t="shared" ref="D11" si="26">IF(H10&lt;I10,G10,D10)</f>
        <v>4.2453848357158117</v>
      </c>
      <c r="E11" s="3">
        <f t="shared" ref="E11" si="27">$M$4 * (D11-C11)</f>
        <v>0.13155621589049007</v>
      </c>
      <c r="F11" s="3">
        <f t="shared" ref="F11" si="28">IF(H10&gt;I10,G10, D11 - E11)</f>
        <v>4.1138286198253216</v>
      </c>
      <c r="G11" s="3">
        <f t="shared" ref="G11" si="29">IF(H10 &lt; I10, F10, C11 + E11)</f>
        <v>4.1640787281810487</v>
      </c>
      <c r="H11">
        <v>3.1443865382522902</v>
      </c>
      <c r="I11" s="3">
        <v>3.1443850480023499</v>
      </c>
      <c r="J11" s="3">
        <f>IF(OR(D11-C11 &lt;= 2 * $M$3, H11=I11), 1, 0)</f>
        <v>0</v>
      </c>
    </row>
    <row r="12" spans="2:13" x14ac:dyDescent="0.35">
      <c r="C12" s="3">
        <f>IF(H11&gt;I11, F11,C11)</f>
        <v>4.1138286198253216</v>
      </c>
      <c r="D12" s="3">
        <f t="shared" ref="D12" si="30">IF(H11&lt;I11,G11,D11)</f>
        <v>4.2453848357158117</v>
      </c>
      <c r="E12" s="3">
        <f t="shared" ref="E12" si="31">$M$4 * (D12-C12)</f>
        <v>8.1306214331663185E-2</v>
      </c>
      <c r="F12" s="3">
        <f t="shared" ref="F12" si="32">IF(H11&gt;I11,G11, D12 - E12)</f>
        <v>4.1640787281810487</v>
      </c>
      <c r="G12" s="3">
        <f t="shared" ref="G12" si="33">IF(H11 &lt; I11, F11, C12 + E12)</f>
        <v>4.1951348341569847</v>
      </c>
      <c r="H12" s="3">
        <v>3.1443850480023499</v>
      </c>
      <c r="I12">
        <v>3.1443850267585098</v>
      </c>
      <c r="J12" s="3">
        <f>IF(OR(D12-C12 &lt;= 2 * $M$3, H12=I12), 1, 0)</f>
        <v>0</v>
      </c>
    </row>
    <row r="13" spans="2:13" x14ac:dyDescent="0.35">
      <c r="C13" s="3">
        <f>IF(H12&gt;I12, F12,C12)</f>
        <v>4.1640787281810487</v>
      </c>
      <c r="D13" s="3">
        <f t="shared" ref="D13" si="34">IF(H12&lt;I12,G12,D12)</f>
        <v>4.2453848357158117</v>
      </c>
      <c r="E13" s="3">
        <f t="shared" ref="E13" si="35">$M$4 * (D13-C13)</f>
        <v>5.0249938864139698E-2</v>
      </c>
      <c r="F13" s="3">
        <f t="shared" ref="F13" si="36">IF(H12&gt;I12,G12, D13 - E13)</f>
        <v>4.1951348341569847</v>
      </c>
      <c r="G13" s="3">
        <f t="shared" ref="G13" si="37">IF(H12 &lt; I12, F12, C13 + E13)</f>
        <v>4.214328667045188</v>
      </c>
      <c r="H13">
        <v>3.1443850267585098</v>
      </c>
      <c r="I13">
        <v>3.1443850409193899</v>
      </c>
      <c r="J13" s="3">
        <f>IF(OR(D13-C13 &lt;= 2 * $M$3, H13=I13), 1, 0)</f>
        <v>0</v>
      </c>
    </row>
    <row r="14" spans="2:13" x14ac:dyDescent="0.35">
      <c r="C14" s="3">
        <f>IF(H13&gt;I13, F13,C13)</f>
        <v>4.1640787281810487</v>
      </c>
      <c r="D14" s="3">
        <f t="shared" ref="D14" si="38">IF(H13&lt;I13,G13,D13)</f>
        <v>4.214328667045188</v>
      </c>
      <c r="E14" s="3">
        <f t="shared" ref="E14" si="39">$M$4 * (D14-C14)</f>
        <v>3.1056170715959473E-2</v>
      </c>
      <c r="F14" s="3">
        <f t="shared" ref="F14:H14" si="40">IF(H13&gt;I13,G13, D14 - E14)</f>
        <v>4.1832724963292289</v>
      </c>
      <c r="G14" s="3">
        <f t="shared" ref="G14" si="41">IF(H13 &lt; I13, F13, C14 + E14)</f>
        <v>4.1951348341569847</v>
      </c>
      <c r="H14">
        <v>3.14438502685609</v>
      </c>
      <c r="I14">
        <v>3.1443850267585098</v>
      </c>
      <c r="J14" s="3">
        <f>IF(OR(D14-C14 &lt;= 2 * $M$3, H14=I14), 1, 0)</f>
        <v>0</v>
      </c>
    </row>
    <row r="15" spans="2:13" x14ac:dyDescent="0.35">
      <c r="C15" s="3">
        <f>IF(H14&gt;I14, F14,C14)</f>
        <v>4.1832724963292289</v>
      </c>
      <c r="D15" s="3">
        <f t="shared" ref="D15" si="42">IF(H14&lt;I14,G14,D14)</f>
        <v>4.214328667045188</v>
      </c>
      <c r="E15" s="3">
        <f t="shared" ref="E15" si="43">$M$4 * (D15-C15)</f>
        <v>1.9193769412267078E-2</v>
      </c>
      <c r="F15" s="3">
        <f t="shared" ref="F15" si="44">IF(H14&gt;I14,G14, D15 - E15)</f>
        <v>4.1951348341569847</v>
      </c>
      <c r="G15" s="3">
        <f t="shared" ref="G15" si="45">IF(H14 &lt; I14, F14, C15 + E15)</f>
        <v>4.2024662657414957</v>
      </c>
      <c r="H15">
        <v>3.1443850267585098</v>
      </c>
      <c r="I15">
        <v>3.1443850276443701</v>
      </c>
      <c r="J15" s="3">
        <f>IF(OR(D15-C15 &lt;= 2 * $M$3, H15=I15), 1, 0)</f>
        <v>0</v>
      </c>
    </row>
    <row r="16" spans="2:13" x14ac:dyDescent="0.35">
      <c r="C16" s="3">
        <f>IF(H15&gt;I15, F15,C15)</f>
        <v>4.1832724963292289</v>
      </c>
      <c r="D16" s="3">
        <f t="shared" ref="D16" si="46">IF(H15&lt;I15,G15,D15)</f>
        <v>4.2024662657414957</v>
      </c>
      <c r="E16" s="3">
        <f t="shared" ref="E16" si="47">$M$4 * (D16-C16)</f>
        <v>1.1862402084940901E-2</v>
      </c>
      <c r="F16" s="3">
        <f t="shared" ref="F16" si="48">IF(H15&gt;I15,G15, D16 - E16)</f>
        <v>4.1906038636565546</v>
      </c>
      <c r="G16" s="3">
        <f t="shared" ref="G16" si="49">IF(H15 &lt; I15, F15, C16 + E16)</f>
        <v>4.1951348341569847</v>
      </c>
      <c r="H16">
        <v>3.1443850267379698</v>
      </c>
      <c r="I16">
        <v>3.1443850267585098</v>
      </c>
      <c r="J16" s="3">
        <f>IF(OR(D16-C16 &lt;= 2 * $M$3, H16=I16), 1, 0)</f>
        <v>0</v>
      </c>
    </row>
    <row r="17" spans="3:10" x14ac:dyDescent="0.35">
      <c r="C17" s="3">
        <f>IF(H16&gt;I16, F16,C16)</f>
        <v>4.1832724963292289</v>
      </c>
      <c r="D17" s="3">
        <f t="shared" ref="D17" si="50">IF(H16&lt;I16,G16,D16)</f>
        <v>4.1951348341569847</v>
      </c>
      <c r="E17" s="3">
        <f t="shared" ref="E17" si="51">$M$4 * (D17-C17)</f>
        <v>7.3313280970392332E-3</v>
      </c>
      <c r="F17" s="3">
        <f t="shared" ref="F17" si="52">IF(H16&gt;I16,G16, D17 - E17)</f>
        <v>4.1878035060599457</v>
      </c>
      <c r="G17" s="3">
        <f t="shared" ref="G17" si="53">IF(H16 &lt; I16, F16, C17 + E17)</f>
        <v>4.1906038636565546</v>
      </c>
      <c r="H17">
        <v>3.1443850267402098</v>
      </c>
      <c r="I17">
        <v>3.1443850267379698</v>
      </c>
      <c r="J17" s="3">
        <f>IF(OR(D17-C17 &lt;= 2 * $M$3, H17=I17), 1, 0)</f>
        <v>0</v>
      </c>
    </row>
    <row r="18" spans="3:10" x14ac:dyDescent="0.35">
      <c r="C18" s="3">
        <f>IF(H17&gt;I17, F17,C17)</f>
        <v>4.1878035060599457</v>
      </c>
      <c r="D18" s="3">
        <f t="shared" ref="D18" si="54">IF(H17&lt;I17,G17,D17)</f>
        <v>4.1951348341569847</v>
      </c>
      <c r="E18" s="3">
        <f t="shared" ref="E18" si="55">$M$4 * (D18-C18)</f>
        <v>4.5310100291254436E-3</v>
      </c>
      <c r="F18" s="3">
        <f t="shared" ref="F18" si="56">IF(H17&gt;I17,G17, D18 - E18)</f>
        <v>4.1906038636565546</v>
      </c>
      <c r="G18" s="3">
        <f t="shared" ref="G18" si="57">IF(H17 &lt; I17, F17, C18 + E18)</f>
        <v>4.1923345160890708</v>
      </c>
      <c r="H18">
        <v>3.1443850267379698</v>
      </c>
      <c r="I18">
        <v>3.1443850267384899</v>
      </c>
      <c r="J18" s="3">
        <f>IF(OR(D18-C18 &lt;= 2 * $M$3, H18=I18), 1, 0)</f>
        <v>0</v>
      </c>
    </row>
    <row r="19" spans="3:10" x14ac:dyDescent="0.35">
      <c r="C19" s="3">
        <f>IF(H18&gt;I18, F18,C18)</f>
        <v>4.1878035060599457</v>
      </c>
      <c r="D19" s="3">
        <f t="shared" ref="D19" si="58">IF(H18&lt;I18,G18,D18)</f>
        <v>4.1923345160890708</v>
      </c>
      <c r="E19" s="3">
        <f t="shared" ref="E19" si="59">$M$4 * (D19-C19)</f>
        <v>2.8003182523403322E-3</v>
      </c>
      <c r="F19" s="3">
        <f t="shared" ref="F19" si="60">IF(H18&gt;I18,G18, D19 - E19)</f>
        <v>4.1895341978367302</v>
      </c>
      <c r="G19" s="3">
        <f t="shared" ref="G19" si="61">IF(H18 &lt; I18, F18, C19 + E19)</f>
        <v>4.1906038636565546</v>
      </c>
      <c r="H19">
        <v>3.144385026738</v>
      </c>
      <c r="I19">
        <v>3.1443850267379698</v>
      </c>
      <c r="J19" s="3">
        <f>IF(OR(D19-C19 &lt;= 2 * $M$3, H19=I19), 1, 0)</f>
        <v>0</v>
      </c>
    </row>
    <row r="20" spans="3:10" x14ac:dyDescent="0.35">
      <c r="C20" s="3">
        <f>IF(H19&gt;I19, F19,C19)</f>
        <v>4.1895341978367302</v>
      </c>
      <c r="D20" s="3">
        <f t="shared" ref="D20" si="62">IF(H19&lt;I19,G19,D19)</f>
        <v>4.1923345160890708</v>
      </c>
      <c r="E20" s="3">
        <f t="shared" ref="E20" si="63">$M$4 * (D20-C20)</f>
        <v>1.7306918907670807E-3</v>
      </c>
      <c r="F20" s="3">
        <f t="shared" ref="F20" si="64">IF(H19&gt;I19,G19, D20 - E20)</f>
        <v>4.1906038636565546</v>
      </c>
      <c r="G20" s="3">
        <f t="shared" ref="G20" si="65">IF(H19 &lt; I19, F19, C20 + E20)</f>
        <v>4.1912648897274973</v>
      </c>
      <c r="H20">
        <v>3.1443850267379698</v>
      </c>
      <c r="I20">
        <v>3.14438502673798</v>
      </c>
      <c r="J20" s="3">
        <f>IF(OR(D20-C20 &lt;= 2 * $M$3, H20=I20), 1, 0)</f>
        <v>0</v>
      </c>
    </row>
    <row r="21" spans="3:10" x14ac:dyDescent="0.35">
      <c r="C21" s="3">
        <f>IF(H20&gt;I20, F20,C20)</f>
        <v>4.1895341978367302</v>
      </c>
      <c r="D21" s="3">
        <f t="shared" ref="D21" si="66">IF(H20&lt;I20,G20,D20)</f>
        <v>4.1912648897274973</v>
      </c>
      <c r="E21" s="3">
        <f t="shared" ref="E21" si="67">$M$4 * (D21-C21)</f>
        <v>1.0696264320183744E-3</v>
      </c>
      <c r="F21" s="3">
        <f t="shared" ref="F21" si="68">IF(H20&gt;I20,G20, D21 - E21)</f>
        <v>4.1901952632954789</v>
      </c>
      <c r="G21" s="3">
        <f t="shared" ref="G21" si="69">IF(H20 &lt; I20, F20, C21 + E21)</f>
        <v>4.1906038636565546</v>
      </c>
      <c r="H21">
        <v>3.1443850267379698</v>
      </c>
      <c r="I21">
        <v>3.1443850267379698</v>
      </c>
      <c r="J21" s="3">
        <f>IF(OR(D21-C21 &lt;= 2 * $M$3, H21=I21), 1, 0)</f>
        <v>1</v>
      </c>
    </row>
    <row r="23" spans="3:10" x14ac:dyDescent="0.35">
      <c r="C23" t="s">
        <v>21</v>
      </c>
      <c r="D23" s="3">
        <f>(C21+D21)/2</f>
        <v>4.1903995437821138</v>
      </c>
    </row>
    <row r="24" spans="3:10" x14ac:dyDescent="0.35">
      <c r="C24" t="s">
        <v>12</v>
      </c>
      <c r="D24">
        <v>3.1443850267379698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6679-F525-4DEA-8F29-391C6FFD3F85}">
  <dimension ref="B2:AA5"/>
  <sheetViews>
    <sheetView tabSelected="1" workbookViewId="0">
      <selection activeCell="Z11" sqref="Z11"/>
    </sheetView>
  </sheetViews>
  <sheetFormatPr defaultRowHeight="14.5" x14ac:dyDescent="0.35"/>
  <cols>
    <col min="6" max="6" width="10.54296875" customWidth="1"/>
  </cols>
  <sheetData>
    <row r="2" spans="2:27" x14ac:dyDescent="0.35">
      <c r="B2" t="s">
        <v>13</v>
      </c>
    </row>
    <row r="3" spans="2:27" x14ac:dyDescent="0.35">
      <c r="B3" t="s">
        <v>14</v>
      </c>
      <c r="C3" s="5">
        <v>10</v>
      </c>
      <c r="D3" s="5">
        <f>C3 - C4/C5</f>
        <v>5.5134793322686821</v>
      </c>
      <c r="E3" s="5">
        <f t="shared" ref="D3:M3" si="0">D3 - D4/D5</f>
        <v>5.0590992457566299</v>
      </c>
      <c r="F3" s="5">
        <f t="shared" si="0"/>
        <v>4.7658402866933613</v>
      </c>
      <c r="G3" s="5">
        <f t="shared" si="0"/>
        <v>4.5729799936358599</v>
      </c>
      <c r="H3" s="5">
        <f t="shared" si="0"/>
        <v>4.4451647248358075</v>
      </c>
      <c r="I3" s="5">
        <f t="shared" si="0"/>
        <v>4.3601759885202416</v>
      </c>
      <c r="J3" s="5">
        <f t="shared" si="0"/>
        <v>4.3035820269732747</v>
      </c>
      <c r="K3" s="5">
        <f t="shared" si="0"/>
        <v>4.2658719824082914</v>
      </c>
      <c r="L3" s="5">
        <f>K3 - K4/K5</f>
        <v>4.2407376532597167</v>
      </c>
      <c r="M3" s="5">
        <f>L3 - L4/L5</f>
        <v>4.2239831218522159</v>
      </c>
      <c r="N3" s="5">
        <f>M3 - M4/M5</f>
        <v>4.2141417079973627</v>
      </c>
      <c r="O3" s="5">
        <f>N3 - N4/N5</f>
        <v>4.2076337298431543</v>
      </c>
      <c r="P3" s="5">
        <f>O3 - O4/O5</f>
        <v>4.2019145217370273</v>
      </c>
      <c r="Q3" s="5">
        <f>P3 - P4/P5</f>
        <v>4.1981017361877386</v>
      </c>
      <c r="R3" s="5">
        <f>Q3 - Q4/Q5</f>
        <v>4.1955598851984259</v>
      </c>
      <c r="S3" s="5">
        <f>R3 - R4/R5</f>
        <v>4.1938653196219349</v>
      </c>
      <c r="T3" s="5">
        <f>S3 - S4/S5</f>
        <v>4.1927356095628223</v>
      </c>
      <c r="U3" s="5">
        <f>T3 - T4/T5</f>
        <v>4.191982469657006</v>
      </c>
      <c r="V3" s="5">
        <f>U3 - U4/U5</f>
        <v>4.1914803764632778</v>
      </c>
      <c r="W3" s="5">
        <f>V3 - V4/V5</f>
        <v>4.1911456479496749</v>
      </c>
      <c r="X3" s="5">
        <f>W3 - W4/W5</f>
        <v>4.1909224954400592</v>
      </c>
      <c r="Y3" s="5">
        <f>X3 - X4/X5</f>
        <v>4.1907737272649586</v>
      </c>
      <c r="Z3" s="5">
        <f>Y3 - Y4/Y5</f>
        <v>4.1906745484235408</v>
      </c>
      <c r="AA3" s="5">
        <f>Z3 - Z4/Z5</f>
        <v>4.1906084292488943</v>
      </c>
    </row>
    <row r="4" spans="2:27" x14ac:dyDescent="0.35">
      <c r="B4" t="s">
        <v>15</v>
      </c>
      <c r="C4">
        <v>14.5709000010706</v>
      </c>
      <c r="D4">
        <v>0.388215846621354</v>
      </c>
      <c r="E4">
        <v>0.11266565196445</v>
      </c>
      <c r="F4">
        <v>3.3094811165539501E-2</v>
      </c>
      <c r="G4">
        <v>9.7692185397065898E-3</v>
      </c>
      <c r="H4">
        <v>2.8898249948807399E-3</v>
      </c>
      <c r="I4">
        <v>8.5562175844911199E-4</v>
      </c>
      <c r="J4">
        <v>2.5343578181450202E-4</v>
      </c>
      <c r="K4" s="4">
        <v>7.5081326948882594E-5</v>
      </c>
      <c r="L4" s="4">
        <v>2.2244903736988801E-5</v>
      </c>
      <c r="M4" s="4">
        <v>4.5087945348023704E-6</v>
      </c>
      <c r="N4" s="4">
        <v>1.30389407165556E-6</v>
      </c>
      <c r="O4" s="4">
        <v>8.8494157314499703E-7</v>
      </c>
      <c r="P4" s="4">
        <v>2.6220405395934199E-7</v>
      </c>
      <c r="Q4" s="4">
        <v>7.7689962523105404E-8</v>
      </c>
      <c r="R4" s="4">
        <v>2.3019233028738899E-8</v>
      </c>
      <c r="S4" s="4">
        <v>6.8205149976904104E-9</v>
      </c>
      <c r="T4" s="4">
        <v>2.0208932314723701E-9</v>
      </c>
      <c r="U4" s="4">
        <v>5.9878303316281899E-10</v>
      </c>
      <c r="V4" s="4">
        <v>1.77416763155863E-10</v>
      </c>
      <c r="W4" s="4">
        <v>5.2568050220065203E-11</v>
      </c>
      <c r="X4" s="4">
        <v>1.55756671634542E-11</v>
      </c>
      <c r="Y4" s="4">
        <v>4.6150206304165101E-12</v>
      </c>
      <c r="Z4" s="4">
        <v>1.36741023909475E-12</v>
      </c>
    </row>
    <row r="5" spans="2:27" x14ac:dyDescent="0.35">
      <c r="B5" t="s">
        <v>16</v>
      </c>
      <c r="C5">
        <v>3.24770597979628</v>
      </c>
      <c r="D5">
        <v>0.85438569634819705</v>
      </c>
      <c r="E5">
        <v>0.38418485943047698</v>
      </c>
      <c r="F5">
        <v>0.17159992158506299</v>
      </c>
      <c r="G5">
        <v>7.6432327932502805E-2</v>
      </c>
      <c r="H5">
        <v>3.4002446914268E-2</v>
      </c>
      <c r="I5">
        <v>1.5118605149050101E-2</v>
      </c>
      <c r="J5">
        <v>6.7206439222784299E-3</v>
      </c>
      <c r="K5">
        <v>2.98720234405542E-3</v>
      </c>
      <c r="L5">
        <v>1.3276947708027299E-3</v>
      </c>
      <c r="M5">
        <v>4.5814499840170502E-4</v>
      </c>
      <c r="N5">
        <v>2.00353172791836E-4</v>
      </c>
      <c r="O5">
        <v>1.54731486724013E-4</v>
      </c>
      <c r="P5" s="4">
        <v>6.8769683101699506E-5</v>
      </c>
      <c r="Q5" s="4">
        <v>3.0564326095333002E-5</v>
      </c>
      <c r="R5" s="4">
        <v>1.35841500311882E-5</v>
      </c>
      <c r="S5" s="4">
        <v>6.0374030864578801E-6</v>
      </c>
      <c r="T5" s="4">
        <v>2.6832906022729299E-6</v>
      </c>
      <c r="U5" s="4">
        <v>1.1925734916202201E-6</v>
      </c>
      <c r="V5" s="4">
        <v>5.3003181965625097E-7</v>
      </c>
      <c r="W5" s="4">
        <v>2.3557006063084199E-7</v>
      </c>
      <c r="X5" s="4">
        <v>1.04697574954461E-7</v>
      </c>
      <c r="Y5" s="4">
        <v>4.6532310364439303E-8</v>
      </c>
      <c r="Z5" s="4">
        <v>2.06809937724435E-8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Половинного деления</vt:lpstr>
      <vt:lpstr>Золотого сечения</vt:lpstr>
      <vt:lpstr>Ньютона-Рафсона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2015-06-05T18:19:34Z</dcterms:created>
  <dcterms:modified xsi:type="dcterms:W3CDTF">2025-11-10T13:15:34Z</dcterms:modified>
</cp:coreProperties>
</file>