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hub\studies\Numerical methods\LW11\"/>
    </mc:Choice>
  </mc:AlternateContent>
  <xr:revisionPtr revIDLastSave="0" documentId="13_ncr:1_{72EC3BCB-009B-42BE-AADA-8D5D560F7541}" xr6:coauthVersionLast="47" xr6:coauthVersionMax="47" xr10:uidLastSave="{00000000-0000-0000-0000-000000000000}"/>
  <bookViews>
    <workbookView xWindow="-120" yWindow="-120" windowWidth="29040" windowHeight="15840" firstSheet="2" activeTab="3" xr2:uid="{00000000-000D-0000-FFFF-FFFF00000000}"/>
  </bookViews>
  <sheets>
    <sheet name="Метод Эйлера" sheetId="1" r:id="rId1"/>
    <sheet name="Метод Рунге-Кутты" sheetId="2" r:id="rId2"/>
    <sheet name="Метод Адамса" sheetId="3" r:id="rId3"/>
    <sheet name="Сравнение методов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3" l="1"/>
  <c r="D11" i="3" s="1"/>
  <c r="E10" i="3"/>
  <c r="E9" i="3"/>
  <c r="D9" i="3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F5" i="3"/>
  <c r="C6" i="3"/>
  <c r="N6" i="3" s="1"/>
  <c r="N5" i="3"/>
  <c r="G5" i="3"/>
  <c r="D5" i="3"/>
  <c r="C5" i="3"/>
  <c r="D7" i="2"/>
  <c r="E7" i="2" s="1"/>
  <c r="F7" i="2" s="1"/>
  <c r="G7" i="2"/>
  <c r="H7" i="2"/>
  <c r="N7" i="2"/>
  <c r="G8" i="2"/>
  <c r="N8" i="2"/>
  <c r="G9" i="2"/>
  <c r="N9" i="2"/>
  <c r="G10" i="2"/>
  <c r="N10" i="2"/>
  <c r="G11" i="2"/>
  <c r="N11" i="2"/>
  <c r="G12" i="2"/>
  <c r="N12" i="2"/>
  <c r="G13" i="2"/>
  <c r="N13" i="2"/>
  <c r="G14" i="2"/>
  <c r="N14" i="2"/>
  <c r="G15" i="2"/>
  <c r="N15" i="2"/>
  <c r="G16" i="2"/>
  <c r="N16" i="2"/>
  <c r="G17" i="2"/>
  <c r="N17" i="2"/>
  <c r="G18" i="2"/>
  <c r="N18" i="2"/>
  <c r="G19" i="2"/>
  <c r="N19" i="2"/>
  <c r="G20" i="2"/>
  <c r="N20" i="2"/>
  <c r="G21" i="2"/>
  <c r="N21" i="2"/>
  <c r="G22" i="2"/>
  <c r="N22" i="2"/>
  <c r="G23" i="2"/>
  <c r="N23" i="2"/>
  <c r="G24" i="2"/>
  <c r="N24" i="2"/>
  <c r="G25" i="2"/>
  <c r="N25" i="2"/>
  <c r="G26" i="2"/>
  <c r="N26" i="2"/>
  <c r="G27" i="2"/>
  <c r="N27" i="2"/>
  <c r="G28" i="2"/>
  <c r="N28" i="2"/>
  <c r="G29" i="2"/>
  <c r="N29" i="2"/>
  <c r="G30" i="2"/>
  <c r="N30" i="2"/>
  <c r="G31" i="2"/>
  <c r="N31" i="2"/>
  <c r="G32" i="2"/>
  <c r="N32" i="2"/>
  <c r="G33" i="2"/>
  <c r="N33" i="2"/>
  <c r="G34" i="2"/>
  <c r="N34" i="2"/>
  <c r="G35" i="2"/>
  <c r="N35" i="2"/>
  <c r="G36" i="2"/>
  <c r="N36" i="2"/>
  <c r="G37" i="2"/>
  <c r="N37" i="2"/>
  <c r="G38" i="2"/>
  <c r="N38" i="2"/>
  <c r="G39" i="2"/>
  <c r="N39" i="2"/>
  <c r="G40" i="2"/>
  <c r="N40" i="2"/>
  <c r="G41" i="2"/>
  <c r="N41" i="2"/>
  <c r="G42" i="2"/>
  <c r="N42" i="2"/>
  <c r="G43" i="2"/>
  <c r="N43" i="2"/>
  <c r="G44" i="2"/>
  <c r="N44" i="2"/>
  <c r="G45" i="2"/>
  <c r="N45" i="2"/>
  <c r="G46" i="2"/>
  <c r="N46" i="2"/>
  <c r="G47" i="2"/>
  <c r="N47" i="2"/>
  <c r="G48" i="2"/>
  <c r="N48" i="2"/>
  <c r="G49" i="2"/>
  <c r="N49" i="2"/>
  <c r="G50" i="2"/>
  <c r="N50" i="2"/>
  <c r="G51" i="2"/>
  <c r="N51" i="2"/>
  <c r="G52" i="2"/>
  <c r="N52" i="2"/>
  <c r="G53" i="2"/>
  <c r="N53" i="2"/>
  <c r="G54" i="2"/>
  <c r="N54" i="2"/>
  <c r="G55" i="2"/>
  <c r="N55" i="2"/>
  <c r="G56" i="2"/>
  <c r="N56" i="2"/>
  <c r="G57" i="2"/>
  <c r="N57" i="2"/>
  <c r="G58" i="2"/>
  <c r="N58" i="2"/>
  <c r="G59" i="2"/>
  <c r="N59" i="2"/>
  <c r="G60" i="2"/>
  <c r="N60" i="2"/>
  <c r="G61" i="2"/>
  <c r="N61" i="2"/>
  <c r="G62" i="2"/>
  <c r="N62" i="2"/>
  <c r="G63" i="2"/>
  <c r="N63" i="2"/>
  <c r="G64" i="2"/>
  <c r="N64" i="2"/>
  <c r="G65" i="2"/>
  <c r="N65" i="2"/>
  <c r="G66" i="2"/>
  <c r="N66" i="2"/>
  <c r="G67" i="2"/>
  <c r="N67" i="2"/>
  <c r="G68" i="2"/>
  <c r="N68" i="2"/>
  <c r="G69" i="2"/>
  <c r="N69" i="2"/>
  <c r="G70" i="2"/>
  <c r="N70" i="2"/>
  <c r="G71" i="2"/>
  <c r="N71" i="2"/>
  <c r="G72" i="2"/>
  <c r="N72" i="2"/>
  <c r="G73" i="2"/>
  <c r="N73" i="2"/>
  <c r="G74" i="2"/>
  <c r="N74" i="2"/>
  <c r="G75" i="2"/>
  <c r="N75" i="2"/>
  <c r="G76" i="2"/>
  <c r="N76" i="2"/>
  <c r="G77" i="2"/>
  <c r="N77" i="2"/>
  <c r="G78" i="2"/>
  <c r="N78" i="2"/>
  <c r="G79" i="2"/>
  <c r="N79" i="2"/>
  <c r="G80" i="2"/>
  <c r="N80" i="2"/>
  <c r="G81" i="2"/>
  <c r="N81" i="2"/>
  <c r="G82" i="2"/>
  <c r="N82" i="2"/>
  <c r="G83" i="2"/>
  <c r="N83" i="2"/>
  <c r="G84" i="2"/>
  <c r="N84" i="2"/>
  <c r="G85" i="2"/>
  <c r="N85" i="2"/>
  <c r="E6" i="2"/>
  <c r="F6" i="2"/>
  <c r="G6" i="2"/>
  <c r="H6" i="2"/>
  <c r="I6" i="2"/>
  <c r="J6" i="2" s="1"/>
  <c r="K6" i="2" s="1"/>
  <c r="N6" i="2"/>
  <c r="D6" i="2"/>
  <c r="Q5" i="2"/>
  <c r="P5" i="2"/>
  <c r="K5" i="2"/>
  <c r="L5" i="2" s="1"/>
  <c r="M5" i="2" s="1"/>
  <c r="O5" i="2" s="1"/>
  <c r="N5" i="2"/>
  <c r="G5" i="2"/>
  <c r="E5" i="2"/>
  <c r="F5" i="2" s="1"/>
  <c r="H5" i="2" s="1"/>
  <c r="D5" i="2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5" i="2"/>
  <c r="D7" i="1"/>
  <c r="E7" i="1"/>
  <c r="D8" i="1"/>
  <c r="E8" i="1"/>
  <c r="D9" i="1"/>
  <c r="E6" i="1"/>
  <c r="D6" i="1"/>
  <c r="E5" i="1"/>
  <c r="C78" i="1"/>
  <c r="C79" i="1"/>
  <c r="C80" i="1"/>
  <c r="C81" i="1"/>
  <c r="C82" i="1"/>
  <c r="C83" i="1" s="1"/>
  <c r="C84" i="1" s="1"/>
  <c r="C85" i="1" s="1"/>
  <c r="C67" i="1"/>
  <c r="C68" i="1"/>
  <c r="C69" i="1"/>
  <c r="C70" i="1"/>
  <c r="C71" i="1"/>
  <c r="C72" i="1" s="1"/>
  <c r="C73" i="1" s="1"/>
  <c r="C74" i="1" s="1"/>
  <c r="C75" i="1" s="1"/>
  <c r="C76" i="1" s="1"/>
  <c r="C77" i="1" s="1"/>
  <c r="C61" i="1"/>
  <c r="C62" i="1"/>
  <c r="C63" i="1"/>
  <c r="C64" i="1"/>
  <c r="C65" i="1"/>
  <c r="C66" i="1" s="1"/>
  <c r="C50" i="1"/>
  <c r="C51" i="1"/>
  <c r="C52" i="1"/>
  <c r="C53" i="1"/>
  <c r="C54" i="1"/>
  <c r="C55" i="1" s="1"/>
  <c r="C56" i="1" s="1"/>
  <c r="C57" i="1" s="1"/>
  <c r="C58" i="1" s="1"/>
  <c r="C59" i="1" s="1"/>
  <c r="C60" i="1" s="1"/>
  <c r="C44" i="1"/>
  <c r="C45" i="1"/>
  <c r="C46" i="1"/>
  <c r="C47" i="1"/>
  <c r="C48" i="1"/>
  <c r="C49" i="1" s="1"/>
  <c r="C30" i="1"/>
  <c r="C31" i="1"/>
  <c r="C32" i="1"/>
  <c r="C33" i="1"/>
  <c r="C34" i="1"/>
  <c r="C35" i="1" s="1"/>
  <c r="C36" i="1" s="1"/>
  <c r="C37" i="1" s="1"/>
  <c r="C38" i="1" s="1"/>
  <c r="C39" i="1" s="1"/>
  <c r="C40" i="1" s="1"/>
  <c r="C41" i="1" s="1"/>
  <c r="C42" i="1" s="1"/>
  <c r="C43" i="1" s="1"/>
  <c r="C7" i="1"/>
  <c r="C8" i="1"/>
  <c r="C9" i="1"/>
  <c r="C10" i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6" i="1"/>
  <c r="D5" i="1"/>
  <c r="E11" i="3" l="1"/>
  <c r="D12" i="3" s="1"/>
  <c r="C7" i="3"/>
  <c r="G6" i="3"/>
  <c r="E5" i="3"/>
  <c r="I7" i="2"/>
  <c r="J7" i="2" s="1"/>
  <c r="L6" i="2"/>
  <c r="M6" i="2" s="1"/>
  <c r="O6" i="2" s="1"/>
  <c r="P6" i="2" s="1"/>
  <c r="Q6" i="2" s="1"/>
  <c r="I5" i="2"/>
  <c r="J5" i="2" s="1"/>
  <c r="E9" i="1"/>
  <c r="D10" i="1"/>
  <c r="E12" i="3" l="1"/>
  <c r="D13" i="3" s="1"/>
  <c r="H5" i="3"/>
  <c r="I5" i="3" s="1"/>
  <c r="J5" i="3" s="1"/>
  <c r="K5" i="3" s="1"/>
  <c r="L5" i="3" s="1"/>
  <c r="M5" i="3" s="1"/>
  <c r="O5" i="3" s="1"/>
  <c r="P5" i="3" s="1"/>
  <c r="Q5" i="3" s="1"/>
  <c r="N7" i="3"/>
  <c r="G7" i="3"/>
  <c r="C8" i="3"/>
  <c r="D8" i="2"/>
  <c r="K7" i="2"/>
  <c r="L7" i="2" s="1"/>
  <c r="M7" i="2" s="1"/>
  <c r="O7" i="2" s="1"/>
  <c r="P7" i="2" s="1"/>
  <c r="Q7" i="2" s="1"/>
  <c r="E10" i="1"/>
  <c r="D11" i="1"/>
  <c r="E13" i="3" l="1"/>
  <c r="D14" i="3" s="1"/>
  <c r="N8" i="3"/>
  <c r="G8" i="3"/>
  <c r="D6" i="3"/>
  <c r="H8" i="2"/>
  <c r="I8" i="2" s="1"/>
  <c r="J8" i="2" s="1"/>
  <c r="K8" i="2" s="1"/>
  <c r="L8" i="2" s="1"/>
  <c r="M8" i="2" s="1"/>
  <c r="O8" i="2" s="1"/>
  <c r="P8" i="2" s="1"/>
  <c r="Q8" i="2" s="1"/>
  <c r="E8" i="2"/>
  <c r="F8" i="2" s="1"/>
  <c r="E11" i="1"/>
  <c r="D12" i="1"/>
  <c r="E14" i="3" l="1"/>
  <c r="D15" i="3" s="1"/>
  <c r="E6" i="3"/>
  <c r="F6" i="3" s="1"/>
  <c r="H6" i="3" s="1"/>
  <c r="I6" i="3" s="1"/>
  <c r="J6" i="3" s="1"/>
  <c r="K6" i="3" s="1"/>
  <c r="L6" i="3" s="1"/>
  <c r="M6" i="3" s="1"/>
  <c r="O6" i="3" s="1"/>
  <c r="P6" i="3" s="1"/>
  <c r="Q6" i="3" s="1"/>
  <c r="D9" i="2"/>
  <c r="E12" i="1"/>
  <c r="D13" i="1"/>
  <c r="E15" i="3" l="1"/>
  <c r="D16" i="3" s="1"/>
  <c r="D7" i="3"/>
  <c r="E9" i="2"/>
  <c r="F9" i="2" s="1"/>
  <c r="H9" i="2"/>
  <c r="I9" i="2" s="1"/>
  <c r="J9" i="2" s="1"/>
  <c r="E13" i="1"/>
  <c r="D14" i="1"/>
  <c r="E16" i="3" l="1"/>
  <c r="D17" i="3" s="1"/>
  <c r="E7" i="3"/>
  <c r="F7" i="3" s="1"/>
  <c r="H7" i="3" s="1"/>
  <c r="I7" i="3" s="1"/>
  <c r="J7" i="3" s="1"/>
  <c r="K7" i="3" s="1"/>
  <c r="L7" i="3" s="1"/>
  <c r="M7" i="3" s="1"/>
  <c r="O7" i="3" s="1"/>
  <c r="P7" i="3" s="1"/>
  <c r="Q7" i="3" s="1"/>
  <c r="K9" i="2"/>
  <c r="L9" i="2" s="1"/>
  <c r="M9" i="2" s="1"/>
  <c r="O9" i="2" s="1"/>
  <c r="P9" i="2" s="1"/>
  <c r="Q9" i="2" s="1"/>
  <c r="D10" i="2" s="1"/>
  <c r="E14" i="1"/>
  <c r="D15" i="1"/>
  <c r="E17" i="3" l="1"/>
  <c r="D18" i="3"/>
  <c r="D8" i="3"/>
  <c r="E10" i="2"/>
  <c r="F10" i="2" s="1"/>
  <c r="E15" i="1"/>
  <c r="D16" i="1"/>
  <c r="E18" i="3" l="1"/>
  <c r="D19" i="3" s="1"/>
  <c r="E8" i="3"/>
  <c r="F8" i="3" s="1"/>
  <c r="H8" i="3" s="1"/>
  <c r="I8" i="3" s="1"/>
  <c r="J8" i="3" s="1"/>
  <c r="K8" i="3" s="1"/>
  <c r="L8" i="3" s="1"/>
  <c r="M8" i="3" s="1"/>
  <c r="O8" i="3" s="1"/>
  <c r="P8" i="3" s="1"/>
  <c r="Q8" i="3" s="1"/>
  <c r="H10" i="2"/>
  <c r="I10" i="2" s="1"/>
  <c r="J10" i="2" s="1"/>
  <c r="K10" i="2" s="1"/>
  <c r="L10" i="2" s="1"/>
  <c r="M10" i="2" s="1"/>
  <c r="O10" i="2" s="1"/>
  <c r="P10" i="2" s="1"/>
  <c r="Q10" i="2" s="1"/>
  <c r="E16" i="1"/>
  <c r="D17" i="1"/>
  <c r="E19" i="3" l="1"/>
  <c r="D20" i="3" s="1"/>
  <c r="D11" i="2"/>
  <c r="E17" i="1"/>
  <c r="D18" i="1"/>
  <c r="D21" i="3" l="1"/>
  <c r="E20" i="3"/>
  <c r="E11" i="2"/>
  <c r="F11" i="2" s="1"/>
  <c r="H11" i="2" s="1"/>
  <c r="I11" i="2" s="1"/>
  <c r="J11" i="2" s="1"/>
  <c r="K11" i="2" s="1"/>
  <c r="L11" i="2" s="1"/>
  <c r="M11" i="2" s="1"/>
  <c r="O11" i="2" s="1"/>
  <c r="P11" i="2" s="1"/>
  <c r="Q11" i="2" s="1"/>
  <c r="E18" i="1"/>
  <c r="D19" i="1"/>
  <c r="D22" i="3" l="1"/>
  <c r="E21" i="3"/>
  <c r="D12" i="2"/>
  <c r="E19" i="1"/>
  <c r="D20" i="1"/>
  <c r="E22" i="3" l="1"/>
  <c r="D23" i="3" s="1"/>
  <c r="E12" i="2"/>
  <c r="F12" i="2" s="1"/>
  <c r="H12" i="2"/>
  <c r="I12" i="2" s="1"/>
  <c r="J12" i="2" s="1"/>
  <c r="K12" i="2" s="1"/>
  <c r="L12" i="2" s="1"/>
  <c r="M12" i="2" s="1"/>
  <c r="O12" i="2" s="1"/>
  <c r="P12" i="2" s="1"/>
  <c r="Q12" i="2" s="1"/>
  <c r="E20" i="1"/>
  <c r="D21" i="1"/>
  <c r="E23" i="3" l="1"/>
  <c r="D24" i="3" s="1"/>
  <c r="D13" i="2"/>
  <c r="E21" i="1"/>
  <c r="D22" i="1"/>
  <c r="D25" i="3" l="1"/>
  <c r="E24" i="3"/>
  <c r="E13" i="2"/>
  <c r="F13" i="2" s="1"/>
  <c r="H13" i="2"/>
  <c r="I13" i="2" s="1"/>
  <c r="J13" i="2" s="1"/>
  <c r="E22" i="1"/>
  <c r="D23" i="1"/>
  <c r="D26" i="3" l="1"/>
  <c r="E25" i="3"/>
  <c r="K13" i="2"/>
  <c r="L13" i="2" s="1"/>
  <c r="M13" i="2" s="1"/>
  <c r="O13" i="2" s="1"/>
  <c r="P13" i="2" s="1"/>
  <c r="Q13" i="2" s="1"/>
  <c r="E23" i="1"/>
  <c r="D24" i="1" s="1"/>
  <c r="D27" i="3" l="1"/>
  <c r="E26" i="3"/>
  <c r="D14" i="2"/>
  <c r="E24" i="1"/>
  <c r="D25" i="1"/>
  <c r="E27" i="3" l="1"/>
  <c r="D28" i="3" s="1"/>
  <c r="E14" i="2"/>
  <c r="F14" i="2" s="1"/>
  <c r="H14" i="2" s="1"/>
  <c r="I14" i="2" s="1"/>
  <c r="J14" i="2" s="1"/>
  <c r="E25" i="1"/>
  <c r="D26" i="1" s="1"/>
  <c r="E28" i="3" l="1"/>
  <c r="D29" i="3" s="1"/>
  <c r="K14" i="2"/>
  <c r="L14" i="2" s="1"/>
  <c r="M14" i="2" s="1"/>
  <c r="O14" i="2" s="1"/>
  <c r="P14" i="2" s="1"/>
  <c r="Q14" i="2" s="1"/>
  <c r="E26" i="1"/>
  <c r="D27" i="1"/>
  <c r="E29" i="3" l="1"/>
  <c r="D30" i="3" s="1"/>
  <c r="D15" i="2"/>
  <c r="E27" i="1"/>
  <c r="D28" i="1" s="1"/>
  <c r="E30" i="3" l="1"/>
  <c r="D31" i="3" s="1"/>
  <c r="E15" i="2"/>
  <c r="F15" i="2" s="1"/>
  <c r="H15" i="2"/>
  <c r="I15" i="2" s="1"/>
  <c r="J15" i="2" s="1"/>
  <c r="K15" i="2" s="1"/>
  <c r="L15" i="2" s="1"/>
  <c r="M15" i="2" s="1"/>
  <c r="O15" i="2" s="1"/>
  <c r="P15" i="2" s="1"/>
  <c r="Q15" i="2" s="1"/>
  <c r="E28" i="1"/>
  <c r="D29" i="1"/>
  <c r="E31" i="3" l="1"/>
  <c r="D32" i="3" s="1"/>
  <c r="D16" i="2"/>
  <c r="E29" i="1"/>
  <c r="D30" i="1"/>
  <c r="E32" i="3" l="1"/>
  <c r="D33" i="3"/>
  <c r="E16" i="2"/>
  <c r="F16" i="2" s="1"/>
  <c r="H16" i="2"/>
  <c r="I16" i="2" s="1"/>
  <c r="J16" i="2" s="1"/>
  <c r="E30" i="1"/>
  <c r="D31" i="1" s="1"/>
  <c r="E33" i="3" l="1"/>
  <c r="D34" i="3" s="1"/>
  <c r="K16" i="2"/>
  <c r="L16" i="2" s="1"/>
  <c r="M16" i="2" s="1"/>
  <c r="O16" i="2" s="1"/>
  <c r="P16" i="2" s="1"/>
  <c r="Q16" i="2" s="1"/>
  <c r="E31" i="1"/>
  <c r="D32" i="1" s="1"/>
  <c r="E34" i="3" l="1"/>
  <c r="D35" i="3" s="1"/>
  <c r="D17" i="2"/>
  <c r="E32" i="1"/>
  <c r="D33" i="1" s="1"/>
  <c r="E35" i="3" l="1"/>
  <c r="D36" i="3" s="1"/>
  <c r="E17" i="2"/>
  <c r="F17" i="2" s="1"/>
  <c r="H17" i="2" s="1"/>
  <c r="I17" i="2" s="1"/>
  <c r="J17" i="2" s="1"/>
  <c r="K17" i="2" s="1"/>
  <c r="L17" i="2" s="1"/>
  <c r="M17" i="2" s="1"/>
  <c r="O17" i="2" s="1"/>
  <c r="P17" i="2" s="1"/>
  <c r="Q17" i="2" s="1"/>
  <c r="E33" i="1"/>
  <c r="D34" i="1" s="1"/>
  <c r="E36" i="3" l="1"/>
  <c r="D37" i="3" s="1"/>
  <c r="D18" i="2"/>
  <c r="E34" i="1"/>
  <c r="D35" i="1" s="1"/>
  <c r="E37" i="3" l="1"/>
  <c r="D38" i="3" s="1"/>
  <c r="E18" i="2"/>
  <c r="F18" i="2" s="1"/>
  <c r="H18" i="2"/>
  <c r="I18" i="2" s="1"/>
  <c r="J18" i="2" s="1"/>
  <c r="K18" i="2" s="1"/>
  <c r="L18" i="2" s="1"/>
  <c r="M18" i="2" s="1"/>
  <c r="O18" i="2" s="1"/>
  <c r="P18" i="2" s="1"/>
  <c r="Q18" i="2" s="1"/>
  <c r="D36" i="1"/>
  <c r="E35" i="1"/>
  <c r="E38" i="3" l="1"/>
  <c r="D39" i="3" s="1"/>
  <c r="D19" i="2"/>
  <c r="E36" i="1"/>
  <c r="D37" i="1" s="1"/>
  <c r="E39" i="3" l="1"/>
  <c r="D40" i="3" s="1"/>
  <c r="E19" i="2"/>
  <c r="F19" i="2" s="1"/>
  <c r="H19" i="2"/>
  <c r="I19" i="2" s="1"/>
  <c r="J19" i="2" s="1"/>
  <c r="K19" i="2" s="1"/>
  <c r="L19" i="2" s="1"/>
  <c r="M19" i="2" s="1"/>
  <c r="O19" i="2" s="1"/>
  <c r="P19" i="2" s="1"/>
  <c r="Q19" i="2" s="1"/>
  <c r="E37" i="1"/>
  <c r="D38" i="1"/>
  <c r="E40" i="3" l="1"/>
  <c r="D41" i="3" s="1"/>
  <c r="D20" i="2"/>
  <c r="E38" i="1"/>
  <c r="D39" i="1"/>
  <c r="E41" i="3" l="1"/>
  <c r="D42" i="3"/>
  <c r="E20" i="2"/>
  <c r="F20" i="2" s="1"/>
  <c r="H20" i="2" s="1"/>
  <c r="I20" i="2" s="1"/>
  <c r="J20" i="2" s="1"/>
  <c r="K20" i="2" s="1"/>
  <c r="L20" i="2" s="1"/>
  <c r="M20" i="2" s="1"/>
  <c r="O20" i="2" s="1"/>
  <c r="P20" i="2" s="1"/>
  <c r="Q20" i="2" s="1"/>
  <c r="E39" i="1"/>
  <c r="D40" i="1"/>
  <c r="E42" i="3" l="1"/>
  <c r="D43" i="3" s="1"/>
  <c r="D21" i="2"/>
  <c r="E40" i="1"/>
  <c r="D41" i="1"/>
  <c r="E43" i="3" l="1"/>
  <c r="D44" i="3" s="1"/>
  <c r="E21" i="2"/>
  <c r="F21" i="2" s="1"/>
  <c r="E41" i="1"/>
  <c r="D42" i="1" s="1"/>
  <c r="E44" i="3" l="1"/>
  <c r="D45" i="3" s="1"/>
  <c r="H21" i="2"/>
  <c r="I21" i="2" s="1"/>
  <c r="J21" i="2" s="1"/>
  <c r="K21" i="2" s="1"/>
  <c r="L21" i="2" s="1"/>
  <c r="M21" i="2" s="1"/>
  <c r="O21" i="2" s="1"/>
  <c r="P21" i="2" s="1"/>
  <c r="Q21" i="2" s="1"/>
  <c r="E42" i="1"/>
  <c r="D43" i="1"/>
  <c r="E45" i="3" l="1"/>
  <c r="D46" i="3" s="1"/>
  <c r="D22" i="2"/>
  <c r="E43" i="1"/>
  <c r="D44" i="1"/>
  <c r="E46" i="3" l="1"/>
  <c r="D47" i="3" s="1"/>
  <c r="E22" i="2"/>
  <c r="F22" i="2" s="1"/>
  <c r="H22" i="2"/>
  <c r="I22" i="2" s="1"/>
  <c r="J22" i="2" s="1"/>
  <c r="K22" i="2" s="1"/>
  <c r="L22" i="2" s="1"/>
  <c r="M22" i="2" s="1"/>
  <c r="O22" i="2" s="1"/>
  <c r="P22" i="2" s="1"/>
  <c r="Q22" i="2" s="1"/>
  <c r="E44" i="1"/>
  <c r="D45" i="1"/>
  <c r="E47" i="3" l="1"/>
  <c r="D48" i="3"/>
  <c r="D23" i="2"/>
  <c r="E45" i="1"/>
  <c r="D46" i="1" s="1"/>
  <c r="E48" i="3" l="1"/>
  <c r="D49" i="3" s="1"/>
  <c r="E23" i="2"/>
  <c r="F23" i="2" s="1"/>
  <c r="H23" i="2" s="1"/>
  <c r="I23" i="2" s="1"/>
  <c r="J23" i="2" s="1"/>
  <c r="E46" i="1"/>
  <c r="D47" i="1"/>
  <c r="E49" i="3" l="1"/>
  <c r="D50" i="3" s="1"/>
  <c r="K23" i="2"/>
  <c r="L23" i="2" s="1"/>
  <c r="M23" i="2" s="1"/>
  <c r="O23" i="2" s="1"/>
  <c r="P23" i="2" s="1"/>
  <c r="Q23" i="2" s="1"/>
  <c r="E47" i="1"/>
  <c r="D48" i="1" s="1"/>
  <c r="E50" i="3" l="1"/>
  <c r="D51" i="3" s="1"/>
  <c r="D24" i="2"/>
  <c r="E48" i="1"/>
  <c r="D49" i="1"/>
  <c r="E51" i="3" l="1"/>
  <c r="D52" i="3" s="1"/>
  <c r="E24" i="2"/>
  <c r="F24" i="2" s="1"/>
  <c r="H24" i="2"/>
  <c r="I24" i="2" s="1"/>
  <c r="J24" i="2" s="1"/>
  <c r="K24" i="2" s="1"/>
  <c r="L24" i="2" s="1"/>
  <c r="M24" i="2" s="1"/>
  <c r="O24" i="2" s="1"/>
  <c r="P24" i="2" s="1"/>
  <c r="Q24" i="2" s="1"/>
  <c r="E49" i="1"/>
  <c r="D50" i="1"/>
  <c r="E52" i="3" l="1"/>
  <c r="D53" i="3" s="1"/>
  <c r="D25" i="2"/>
  <c r="E50" i="1"/>
  <c r="D51" i="1"/>
  <c r="E53" i="3" l="1"/>
  <c r="D54" i="3"/>
  <c r="E25" i="2"/>
  <c r="F25" i="2" s="1"/>
  <c r="H25" i="2"/>
  <c r="I25" i="2" s="1"/>
  <c r="J25" i="2" s="1"/>
  <c r="K25" i="2" s="1"/>
  <c r="L25" i="2" s="1"/>
  <c r="M25" i="2" s="1"/>
  <c r="O25" i="2" s="1"/>
  <c r="P25" i="2" s="1"/>
  <c r="Q25" i="2" s="1"/>
  <c r="E51" i="1"/>
  <c r="D52" i="1"/>
  <c r="E54" i="3" l="1"/>
  <c r="D55" i="3" s="1"/>
  <c r="D26" i="2"/>
  <c r="E52" i="1"/>
  <c r="D53" i="1"/>
  <c r="E55" i="3" l="1"/>
  <c r="D56" i="3" s="1"/>
  <c r="E26" i="2"/>
  <c r="F26" i="2" s="1"/>
  <c r="H26" i="2" s="1"/>
  <c r="I26" i="2" s="1"/>
  <c r="J26" i="2" s="1"/>
  <c r="E53" i="1"/>
  <c r="D54" i="1" s="1"/>
  <c r="E56" i="3" l="1"/>
  <c r="D57" i="3" s="1"/>
  <c r="K26" i="2"/>
  <c r="L26" i="2" s="1"/>
  <c r="M26" i="2" s="1"/>
  <c r="O26" i="2" s="1"/>
  <c r="P26" i="2" s="1"/>
  <c r="Q26" i="2" s="1"/>
  <c r="D27" i="2" s="1"/>
  <c r="E54" i="1"/>
  <c r="D55" i="1"/>
  <c r="E57" i="3" l="1"/>
  <c r="D58" i="3" s="1"/>
  <c r="E27" i="2"/>
  <c r="F27" i="2" s="1"/>
  <c r="H27" i="2"/>
  <c r="I27" i="2" s="1"/>
  <c r="J27" i="2" s="1"/>
  <c r="K27" i="2" s="1"/>
  <c r="L27" i="2" s="1"/>
  <c r="M27" i="2" s="1"/>
  <c r="O27" i="2" s="1"/>
  <c r="P27" i="2" s="1"/>
  <c r="Q27" i="2" s="1"/>
  <c r="E55" i="1"/>
  <c r="D56" i="1"/>
  <c r="E58" i="3" l="1"/>
  <c r="D59" i="3" s="1"/>
  <c r="D28" i="2"/>
  <c r="E56" i="1"/>
  <c r="D57" i="1"/>
  <c r="E59" i="3" l="1"/>
  <c r="D60" i="3"/>
  <c r="E28" i="2"/>
  <c r="F28" i="2" s="1"/>
  <c r="H28" i="2"/>
  <c r="I28" i="2" s="1"/>
  <c r="J28" i="2" s="1"/>
  <c r="K28" i="2" s="1"/>
  <c r="L28" i="2" s="1"/>
  <c r="M28" i="2" s="1"/>
  <c r="O28" i="2" s="1"/>
  <c r="P28" i="2" s="1"/>
  <c r="Q28" i="2" s="1"/>
  <c r="E57" i="1"/>
  <c r="D58" i="1"/>
  <c r="E60" i="3" l="1"/>
  <c r="D61" i="3" s="1"/>
  <c r="D29" i="2"/>
  <c r="E58" i="1"/>
  <c r="D59" i="1"/>
  <c r="E61" i="3" l="1"/>
  <c r="D62" i="3" s="1"/>
  <c r="E29" i="2"/>
  <c r="F29" i="2" s="1"/>
  <c r="H29" i="2" s="1"/>
  <c r="I29" i="2" s="1"/>
  <c r="J29" i="2" s="1"/>
  <c r="K29" i="2" s="1"/>
  <c r="L29" i="2" s="1"/>
  <c r="M29" i="2" s="1"/>
  <c r="O29" i="2" s="1"/>
  <c r="P29" i="2" s="1"/>
  <c r="Q29" i="2" s="1"/>
  <c r="E59" i="1"/>
  <c r="D60" i="1" s="1"/>
  <c r="E62" i="3" l="1"/>
  <c r="D63" i="3" s="1"/>
  <c r="D30" i="2"/>
  <c r="E60" i="1"/>
  <c r="D61" i="1"/>
  <c r="E63" i="3" l="1"/>
  <c r="D64" i="3" s="1"/>
  <c r="E30" i="2"/>
  <c r="F30" i="2" s="1"/>
  <c r="H30" i="2"/>
  <c r="I30" i="2" s="1"/>
  <c r="J30" i="2" s="1"/>
  <c r="K30" i="2" s="1"/>
  <c r="L30" i="2" s="1"/>
  <c r="M30" i="2" s="1"/>
  <c r="O30" i="2" s="1"/>
  <c r="P30" i="2" s="1"/>
  <c r="Q30" i="2" s="1"/>
  <c r="E61" i="1"/>
  <c r="D62" i="1"/>
  <c r="E64" i="3" l="1"/>
  <c r="D65" i="3" s="1"/>
  <c r="D31" i="2"/>
  <c r="E62" i="1"/>
  <c r="D63" i="1"/>
  <c r="E65" i="3" l="1"/>
  <c r="D66" i="3" s="1"/>
  <c r="E31" i="2"/>
  <c r="F31" i="2" s="1"/>
  <c r="H31" i="2"/>
  <c r="I31" i="2" s="1"/>
  <c r="J31" i="2" s="1"/>
  <c r="E63" i="1"/>
  <c r="D64" i="1"/>
  <c r="E66" i="3" l="1"/>
  <c r="D67" i="3" s="1"/>
  <c r="K31" i="2"/>
  <c r="L31" i="2" s="1"/>
  <c r="M31" i="2" s="1"/>
  <c r="O31" i="2" s="1"/>
  <c r="P31" i="2" s="1"/>
  <c r="Q31" i="2" s="1"/>
  <c r="E64" i="1"/>
  <c r="D65" i="1"/>
  <c r="E67" i="3" l="1"/>
  <c r="D68" i="3" s="1"/>
  <c r="D32" i="2"/>
  <c r="E65" i="1"/>
  <c r="D66" i="1" s="1"/>
  <c r="E68" i="3" l="1"/>
  <c r="D69" i="3"/>
  <c r="E32" i="2"/>
  <c r="F32" i="2" s="1"/>
  <c r="H32" i="2" s="1"/>
  <c r="I32" i="2" s="1"/>
  <c r="J32" i="2" s="1"/>
  <c r="E66" i="1"/>
  <c r="D67" i="1"/>
  <c r="E69" i="3" l="1"/>
  <c r="D70" i="3" s="1"/>
  <c r="K32" i="2"/>
  <c r="L32" i="2" s="1"/>
  <c r="M32" i="2" s="1"/>
  <c r="O32" i="2" s="1"/>
  <c r="P32" i="2" s="1"/>
  <c r="Q32" i="2" s="1"/>
  <c r="E67" i="1"/>
  <c r="D68" i="1"/>
  <c r="E70" i="3" l="1"/>
  <c r="D71" i="3" s="1"/>
  <c r="D33" i="2"/>
  <c r="E68" i="1"/>
  <c r="D69" i="1"/>
  <c r="E71" i="3" l="1"/>
  <c r="D72" i="3" s="1"/>
  <c r="E33" i="2"/>
  <c r="F33" i="2" s="1"/>
  <c r="E69" i="1"/>
  <c r="D70" i="1" s="1"/>
  <c r="E72" i="3" l="1"/>
  <c r="D73" i="3" s="1"/>
  <c r="H33" i="2"/>
  <c r="I33" i="2" s="1"/>
  <c r="J33" i="2" s="1"/>
  <c r="K33" i="2" s="1"/>
  <c r="L33" i="2" s="1"/>
  <c r="M33" i="2" s="1"/>
  <c r="O33" i="2" s="1"/>
  <c r="P33" i="2" s="1"/>
  <c r="Q33" i="2" s="1"/>
  <c r="E70" i="1"/>
  <c r="D71" i="1"/>
  <c r="E73" i="3" l="1"/>
  <c r="D74" i="3" s="1"/>
  <c r="D34" i="2"/>
  <c r="D72" i="1"/>
  <c r="E71" i="1"/>
  <c r="E74" i="3" l="1"/>
  <c r="D75" i="3"/>
  <c r="E34" i="2"/>
  <c r="F34" i="2" s="1"/>
  <c r="H34" i="2"/>
  <c r="I34" i="2" s="1"/>
  <c r="J34" i="2" s="1"/>
  <c r="E72" i="1"/>
  <c r="D73" i="1" s="1"/>
  <c r="E75" i="3" l="1"/>
  <c r="D76" i="3" s="1"/>
  <c r="K34" i="2"/>
  <c r="L34" i="2" s="1"/>
  <c r="M34" i="2" s="1"/>
  <c r="O34" i="2" s="1"/>
  <c r="P34" i="2" s="1"/>
  <c r="Q34" i="2" s="1"/>
  <c r="E73" i="1"/>
  <c r="D74" i="1"/>
  <c r="E76" i="3" l="1"/>
  <c r="D77" i="3"/>
  <c r="D35" i="2"/>
  <c r="E74" i="1"/>
  <c r="D75" i="1"/>
  <c r="E77" i="3" l="1"/>
  <c r="D78" i="3" s="1"/>
  <c r="E35" i="2"/>
  <c r="F35" i="2" s="1"/>
  <c r="H35" i="2" s="1"/>
  <c r="I35" i="2" s="1"/>
  <c r="J35" i="2" s="1"/>
  <c r="E75" i="1"/>
  <c r="D76" i="1"/>
  <c r="E78" i="3" l="1"/>
  <c r="D79" i="3" s="1"/>
  <c r="K35" i="2"/>
  <c r="L35" i="2" s="1"/>
  <c r="M35" i="2" s="1"/>
  <c r="O35" i="2" s="1"/>
  <c r="P35" i="2" s="1"/>
  <c r="Q35" i="2" s="1"/>
  <c r="E76" i="1"/>
  <c r="D77" i="1"/>
  <c r="E79" i="3" l="1"/>
  <c r="D80" i="3" s="1"/>
  <c r="D36" i="2"/>
  <c r="E77" i="1"/>
  <c r="D78" i="1" s="1"/>
  <c r="E80" i="3" l="1"/>
  <c r="D81" i="3"/>
  <c r="E36" i="2"/>
  <c r="F36" i="2" s="1"/>
  <c r="H36" i="2"/>
  <c r="I36" i="2" s="1"/>
  <c r="J36" i="2" s="1"/>
  <c r="K36" i="2" s="1"/>
  <c r="L36" i="2" s="1"/>
  <c r="M36" i="2" s="1"/>
  <c r="O36" i="2" s="1"/>
  <c r="P36" i="2" s="1"/>
  <c r="Q36" i="2" s="1"/>
  <c r="E78" i="1"/>
  <c r="D79" i="1"/>
  <c r="E81" i="3" l="1"/>
  <c r="D82" i="3" s="1"/>
  <c r="D37" i="2"/>
  <c r="E79" i="1"/>
  <c r="D80" i="1"/>
  <c r="E82" i="3" l="1"/>
  <c r="D83" i="3" s="1"/>
  <c r="E37" i="2"/>
  <c r="F37" i="2" s="1"/>
  <c r="H37" i="2"/>
  <c r="I37" i="2" s="1"/>
  <c r="J37" i="2" s="1"/>
  <c r="E80" i="1"/>
  <c r="D81" i="1"/>
  <c r="E83" i="3" l="1"/>
  <c r="D84" i="3"/>
  <c r="K37" i="2"/>
  <c r="L37" i="2" s="1"/>
  <c r="M37" i="2" s="1"/>
  <c r="O37" i="2" s="1"/>
  <c r="P37" i="2" s="1"/>
  <c r="Q37" i="2" s="1"/>
  <c r="E81" i="1"/>
  <c r="D82" i="1"/>
  <c r="E84" i="3" l="1"/>
  <c r="D85" i="3" s="1"/>
  <c r="E85" i="3" s="1"/>
  <c r="D38" i="2"/>
  <c r="E82" i="1"/>
  <c r="D83" i="1"/>
  <c r="E38" i="2" l="1"/>
  <c r="F38" i="2" s="1"/>
  <c r="H38" i="2" s="1"/>
  <c r="I38" i="2" s="1"/>
  <c r="J38" i="2" s="1"/>
  <c r="E83" i="1"/>
  <c r="D84" i="1" s="1"/>
  <c r="K38" i="2" l="1"/>
  <c r="L38" i="2" s="1"/>
  <c r="M38" i="2" s="1"/>
  <c r="O38" i="2" s="1"/>
  <c r="P38" i="2" s="1"/>
  <c r="Q38" i="2" s="1"/>
  <c r="E84" i="1"/>
  <c r="D85" i="1"/>
  <c r="E85" i="1" s="1"/>
  <c r="D39" i="2" l="1"/>
  <c r="E39" i="2" l="1"/>
  <c r="F39" i="2" s="1"/>
  <c r="H39" i="2"/>
  <c r="I39" i="2" s="1"/>
  <c r="J39" i="2" s="1"/>
  <c r="K39" i="2" s="1"/>
  <c r="L39" i="2" s="1"/>
  <c r="M39" i="2" s="1"/>
  <c r="O39" i="2" s="1"/>
  <c r="P39" i="2" s="1"/>
  <c r="Q39" i="2" s="1"/>
  <c r="D40" i="2" l="1"/>
  <c r="E40" i="2" l="1"/>
  <c r="F40" i="2" s="1"/>
  <c r="H40" i="2"/>
  <c r="I40" i="2" s="1"/>
  <c r="J40" i="2" s="1"/>
  <c r="K40" i="2" l="1"/>
  <c r="L40" i="2" s="1"/>
  <c r="M40" i="2" s="1"/>
  <c r="O40" i="2" s="1"/>
  <c r="P40" i="2" s="1"/>
  <c r="Q40" i="2" s="1"/>
  <c r="D41" i="2" l="1"/>
  <c r="E41" i="2" l="1"/>
  <c r="F41" i="2" s="1"/>
  <c r="H41" i="2" s="1"/>
  <c r="I41" i="2" s="1"/>
  <c r="J41" i="2" s="1"/>
  <c r="K41" i="2" l="1"/>
  <c r="L41" i="2" s="1"/>
  <c r="M41" i="2" s="1"/>
  <c r="O41" i="2" s="1"/>
  <c r="P41" i="2" s="1"/>
  <c r="Q41" i="2" s="1"/>
  <c r="D42" i="2" l="1"/>
  <c r="E42" i="2" l="1"/>
  <c r="F42" i="2" s="1"/>
  <c r="H42" i="2" l="1"/>
  <c r="I42" i="2" s="1"/>
  <c r="J42" i="2" s="1"/>
  <c r="K42" i="2" s="1"/>
  <c r="L42" i="2" s="1"/>
  <c r="M42" i="2" s="1"/>
  <c r="O42" i="2" s="1"/>
  <c r="P42" i="2" s="1"/>
  <c r="Q42" i="2" s="1"/>
  <c r="D43" i="2" l="1"/>
  <c r="E43" i="2" l="1"/>
  <c r="F43" i="2" s="1"/>
  <c r="H43" i="2"/>
  <c r="I43" i="2" s="1"/>
  <c r="J43" i="2" s="1"/>
  <c r="K43" i="2" s="1"/>
  <c r="L43" i="2" s="1"/>
  <c r="M43" i="2" s="1"/>
  <c r="O43" i="2" s="1"/>
  <c r="P43" i="2" s="1"/>
  <c r="Q43" i="2" s="1"/>
  <c r="D44" i="2" l="1"/>
  <c r="E44" i="2" l="1"/>
  <c r="F44" i="2" s="1"/>
  <c r="H44" i="2" s="1"/>
  <c r="I44" i="2" s="1"/>
  <c r="J44" i="2" s="1"/>
  <c r="K44" i="2" s="1"/>
  <c r="L44" i="2" s="1"/>
  <c r="M44" i="2" s="1"/>
  <c r="O44" i="2" s="1"/>
  <c r="P44" i="2" s="1"/>
  <c r="Q44" i="2" s="1"/>
  <c r="D45" i="2" l="1"/>
  <c r="E45" i="2" l="1"/>
  <c r="F45" i="2" s="1"/>
  <c r="H45" i="2"/>
  <c r="I45" i="2" s="1"/>
  <c r="J45" i="2" s="1"/>
  <c r="K45" i="2" s="1"/>
  <c r="L45" i="2" s="1"/>
  <c r="M45" i="2" s="1"/>
  <c r="O45" i="2" s="1"/>
  <c r="P45" i="2" s="1"/>
  <c r="Q45" i="2" s="1"/>
  <c r="D46" i="2" l="1"/>
  <c r="E46" i="2" l="1"/>
  <c r="F46" i="2" s="1"/>
  <c r="H46" i="2"/>
  <c r="I46" i="2" s="1"/>
  <c r="J46" i="2" s="1"/>
  <c r="K46" i="2" s="1"/>
  <c r="L46" i="2" s="1"/>
  <c r="M46" i="2" s="1"/>
  <c r="O46" i="2" s="1"/>
  <c r="P46" i="2" s="1"/>
  <c r="Q46" i="2" s="1"/>
  <c r="D47" i="2" l="1"/>
  <c r="E47" i="2" l="1"/>
  <c r="F47" i="2" s="1"/>
  <c r="H47" i="2" s="1"/>
  <c r="I47" i="2" s="1"/>
  <c r="J47" i="2" s="1"/>
  <c r="K47" i="2" s="1"/>
  <c r="L47" i="2" s="1"/>
  <c r="M47" i="2" s="1"/>
  <c r="O47" i="2" s="1"/>
  <c r="P47" i="2" s="1"/>
  <c r="Q47" i="2" s="1"/>
  <c r="D48" i="2" l="1"/>
  <c r="E48" i="2" l="1"/>
  <c r="F48" i="2" s="1"/>
  <c r="H48" i="2" l="1"/>
  <c r="I48" i="2" s="1"/>
  <c r="J48" i="2" s="1"/>
  <c r="K48" i="2" s="1"/>
  <c r="L48" i="2" s="1"/>
  <c r="M48" i="2" s="1"/>
  <c r="O48" i="2" s="1"/>
  <c r="P48" i="2" s="1"/>
  <c r="Q48" i="2" s="1"/>
  <c r="D49" i="2" l="1"/>
  <c r="E49" i="2" l="1"/>
  <c r="F49" i="2" s="1"/>
  <c r="H49" i="2"/>
  <c r="I49" i="2" s="1"/>
  <c r="J49" i="2" s="1"/>
  <c r="K49" i="2" l="1"/>
  <c r="L49" i="2" s="1"/>
  <c r="M49" i="2" s="1"/>
  <c r="O49" i="2" s="1"/>
  <c r="P49" i="2" s="1"/>
  <c r="Q49" i="2" s="1"/>
  <c r="D50" i="2" l="1"/>
  <c r="E50" i="2" l="1"/>
  <c r="F50" i="2" s="1"/>
  <c r="H50" i="2"/>
  <c r="I50" i="2" s="1"/>
  <c r="J50" i="2" s="1"/>
  <c r="K50" i="2" s="1"/>
  <c r="L50" i="2" s="1"/>
  <c r="M50" i="2" s="1"/>
  <c r="O50" i="2" s="1"/>
  <c r="P50" i="2" s="1"/>
  <c r="Q50" i="2" s="1"/>
  <c r="D51" i="2" l="1"/>
  <c r="E51" i="2" l="1"/>
  <c r="F51" i="2" s="1"/>
  <c r="H51" i="2"/>
  <c r="I51" i="2" s="1"/>
  <c r="J51" i="2" s="1"/>
  <c r="K51" i="2" s="1"/>
  <c r="L51" i="2" s="1"/>
  <c r="M51" i="2" s="1"/>
  <c r="O51" i="2" s="1"/>
  <c r="P51" i="2" s="1"/>
  <c r="Q51" i="2" s="1"/>
  <c r="D52" i="2" l="1"/>
  <c r="E52" i="2" l="1"/>
  <c r="F52" i="2" s="1"/>
  <c r="H52" i="2" l="1"/>
  <c r="I52" i="2" s="1"/>
  <c r="J52" i="2" s="1"/>
  <c r="K52" i="2" s="1"/>
  <c r="L52" i="2" s="1"/>
  <c r="M52" i="2" s="1"/>
  <c r="O52" i="2" s="1"/>
  <c r="P52" i="2" s="1"/>
  <c r="Q52" i="2" s="1"/>
  <c r="D53" i="2" l="1"/>
  <c r="E53" i="2" l="1"/>
  <c r="F53" i="2" s="1"/>
  <c r="H53" i="2"/>
  <c r="I53" i="2" s="1"/>
  <c r="J53" i="2" s="1"/>
  <c r="K53" i="2" s="1"/>
  <c r="L53" i="2" s="1"/>
  <c r="M53" i="2" s="1"/>
  <c r="O53" i="2" s="1"/>
  <c r="P53" i="2" s="1"/>
  <c r="Q53" i="2" s="1"/>
  <c r="D54" i="2" l="1"/>
  <c r="E54" i="2" l="1"/>
  <c r="F54" i="2" s="1"/>
  <c r="H54" i="2"/>
  <c r="I54" i="2" s="1"/>
  <c r="J54" i="2" s="1"/>
  <c r="K54" i="2" l="1"/>
  <c r="L54" i="2" s="1"/>
  <c r="M54" i="2" s="1"/>
  <c r="O54" i="2" s="1"/>
  <c r="P54" i="2" s="1"/>
  <c r="Q54" i="2" s="1"/>
  <c r="D55" i="2" l="1"/>
  <c r="E55" i="2" l="1"/>
  <c r="F55" i="2" s="1"/>
  <c r="H55" i="2" s="1"/>
  <c r="I55" i="2" s="1"/>
  <c r="J55" i="2" s="1"/>
  <c r="K55" i="2" l="1"/>
  <c r="L55" i="2" s="1"/>
  <c r="M55" i="2" s="1"/>
  <c r="O55" i="2" s="1"/>
  <c r="P55" i="2" s="1"/>
  <c r="Q55" i="2" s="1"/>
  <c r="D56" i="2" l="1"/>
  <c r="E56" i="2" l="1"/>
  <c r="F56" i="2" s="1"/>
  <c r="H56" i="2"/>
  <c r="I56" i="2" s="1"/>
  <c r="J56" i="2" s="1"/>
  <c r="K56" i="2" l="1"/>
  <c r="L56" i="2" s="1"/>
  <c r="M56" i="2" s="1"/>
  <c r="O56" i="2" s="1"/>
  <c r="P56" i="2" s="1"/>
  <c r="Q56" i="2" s="1"/>
  <c r="D57" i="2" l="1"/>
  <c r="E57" i="2" l="1"/>
  <c r="F57" i="2" s="1"/>
  <c r="H57" i="2"/>
  <c r="I57" i="2" s="1"/>
  <c r="J57" i="2" s="1"/>
  <c r="K57" i="2" s="1"/>
  <c r="L57" i="2" s="1"/>
  <c r="M57" i="2" s="1"/>
  <c r="O57" i="2" s="1"/>
  <c r="P57" i="2" s="1"/>
  <c r="Q57" i="2" s="1"/>
  <c r="D58" i="2" l="1"/>
  <c r="E58" i="2" l="1"/>
  <c r="F58" i="2" s="1"/>
  <c r="H58" i="2" s="1"/>
  <c r="I58" i="2" s="1"/>
  <c r="J58" i="2" s="1"/>
  <c r="K58" i="2" l="1"/>
  <c r="L58" i="2" s="1"/>
  <c r="M58" i="2" s="1"/>
  <c r="O58" i="2" s="1"/>
  <c r="P58" i="2" s="1"/>
  <c r="Q58" i="2" s="1"/>
  <c r="D59" i="2" l="1"/>
  <c r="E59" i="2" l="1"/>
  <c r="F59" i="2" s="1"/>
  <c r="H59" i="2"/>
  <c r="I59" i="2" s="1"/>
  <c r="J59" i="2" s="1"/>
  <c r="K59" i="2" s="1"/>
  <c r="L59" i="2" s="1"/>
  <c r="M59" i="2" s="1"/>
  <c r="O59" i="2" s="1"/>
  <c r="P59" i="2" s="1"/>
  <c r="Q59" i="2" s="1"/>
  <c r="D60" i="2" l="1"/>
  <c r="E60" i="2" l="1"/>
  <c r="F60" i="2" s="1"/>
  <c r="H60" i="2"/>
  <c r="I60" i="2" s="1"/>
  <c r="J60" i="2" s="1"/>
  <c r="K60" i="2" l="1"/>
  <c r="L60" i="2" s="1"/>
  <c r="M60" i="2" s="1"/>
  <c r="O60" i="2" s="1"/>
  <c r="P60" i="2" s="1"/>
  <c r="Q60" i="2" s="1"/>
  <c r="D61" i="2" l="1"/>
  <c r="E61" i="2" l="1"/>
  <c r="F61" i="2" s="1"/>
  <c r="H61" i="2" s="1"/>
  <c r="I61" i="2" s="1"/>
  <c r="J61" i="2" s="1"/>
  <c r="K61" i="2" l="1"/>
  <c r="L61" i="2" s="1"/>
  <c r="M61" i="2" s="1"/>
  <c r="O61" i="2" s="1"/>
  <c r="P61" i="2" s="1"/>
  <c r="Q61" i="2" s="1"/>
  <c r="D62" i="2" l="1"/>
  <c r="E62" i="2" l="1"/>
  <c r="F62" i="2" s="1"/>
  <c r="H62" i="2"/>
  <c r="I62" i="2" s="1"/>
  <c r="J62" i="2" s="1"/>
  <c r="K62" i="2" l="1"/>
  <c r="L62" i="2" s="1"/>
  <c r="M62" i="2" s="1"/>
  <c r="O62" i="2" s="1"/>
  <c r="P62" i="2" s="1"/>
  <c r="Q62" i="2" s="1"/>
  <c r="D63" i="2" l="1"/>
  <c r="E63" i="2" l="1"/>
  <c r="F63" i="2" s="1"/>
  <c r="H63" i="2"/>
  <c r="I63" i="2" s="1"/>
  <c r="J63" i="2" s="1"/>
  <c r="K63" i="2" s="1"/>
  <c r="L63" i="2" s="1"/>
  <c r="M63" i="2" s="1"/>
  <c r="O63" i="2" s="1"/>
  <c r="P63" i="2" s="1"/>
  <c r="Q63" i="2" s="1"/>
  <c r="D64" i="2" l="1"/>
  <c r="E64" i="2" l="1"/>
  <c r="F64" i="2" s="1"/>
  <c r="H64" i="2" l="1"/>
  <c r="I64" i="2" s="1"/>
  <c r="J64" i="2" s="1"/>
  <c r="K64" i="2" s="1"/>
  <c r="L64" i="2" s="1"/>
  <c r="M64" i="2" s="1"/>
  <c r="O64" i="2" s="1"/>
  <c r="P64" i="2" s="1"/>
  <c r="Q64" i="2" s="1"/>
  <c r="D65" i="2" l="1"/>
  <c r="E65" i="2" l="1"/>
  <c r="F65" i="2" s="1"/>
  <c r="H65" i="2"/>
  <c r="I65" i="2" s="1"/>
  <c r="J65" i="2" s="1"/>
  <c r="K65" i="2" l="1"/>
  <c r="L65" i="2" s="1"/>
  <c r="M65" i="2" s="1"/>
  <c r="O65" i="2" s="1"/>
  <c r="P65" i="2" s="1"/>
  <c r="Q65" i="2" s="1"/>
  <c r="D66" i="2" l="1"/>
  <c r="E66" i="2" l="1"/>
  <c r="F66" i="2" s="1"/>
  <c r="H66" i="2"/>
  <c r="I66" i="2" s="1"/>
  <c r="J66" i="2" s="1"/>
  <c r="K66" i="2" s="1"/>
  <c r="L66" i="2" s="1"/>
  <c r="M66" i="2" s="1"/>
  <c r="O66" i="2" s="1"/>
  <c r="P66" i="2" s="1"/>
  <c r="Q66" i="2" s="1"/>
  <c r="D67" i="2" l="1"/>
  <c r="E67" i="2" l="1"/>
  <c r="F67" i="2" s="1"/>
  <c r="H67" i="2" l="1"/>
  <c r="I67" i="2" s="1"/>
  <c r="J67" i="2" s="1"/>
  <c r="K67" i="2" s="1"/>
  <c r="L67" i="2" s="1"/>
  <c r="M67" i="2" s="1"/>
  <c r="O67" i="2" s="1"/>
  <c r="P67" i="2" s="1"/>
  <c r="Q67" i="2" s="1"/>
  <c r="D68" i="2" l="1"/>
  <c r="E68" i="2" l="1"/>
  <c r="F68" i="2" s="1"/>
  <c r="H68" i="2"/>
  <c r="I68" i="2" s="1"/>
  <c r="J68" i="2" s="1"/>
  <c r="K68" i="2" s="1"/>
  <c r="L68" i="2" s="1"/>
  <c r="M68" i="2" s="1"/>
  <c r="O68" i="2" s="1"/>
  <c r="P68" i="2" s="1"/>
  <c r="Q68" i="2" s="1"/>
  <c r="D69" i="2" l="1"/>
  <c r="E69" i="2" l="1"/>
  <c r="F69" i="2" s="1"/>
  <c r="H69" i="2"/>
  <c r="I69" i="2" s="1"/>
  <c r="J69" i="2" s="1"/>
  <c r="K69" i="2" s="1"/>
  <c r="L69" i="2" s="1"/>
  <c r="M69" i="2" s="1"/>
  <c r="O69" i="2" s="1"/>
  <c r="P69" i="2" s="1"/>
  <c r="Q69" i="2" s="1"/>
  <c r="D70" i="2" l="1"/>
  <c r="E70" i="2" l="1"/>
  <c r="F70" i="2" s="1"/>
  <c r="H70" i="2" s="1"/>
  <c r="I70" i="2" s="1"/>
  <c r="J70" i="2" s="1"/>
  <c r="K70" i="2" l="1"/>
  <c r="L70" i="2" s="1"/>
  <c r="M70" i="2" s="1"/>
  <c r="O70" i="2" s="1"/>
  <c r="P70" i="2" s="1"/>
  <c r="Q70" i="2" s="1"/>
  <c r="D71" i="2" l="1"/>
  <c r="E71" i="2" l="1"/>
  <c r="F71" i="2" s="1"/>
  <c r="H71" i="2"/>
  <c r="I71" i="2" s="1"/>
  <c r="J71" i="2" s="1"/>
  <c r="K71" i="2" l="1"/>
  <c r="L71" i="2" s="1"/>
  <c r="M71" i="2" s="1"/>
  <c r="O71" i="2" s="1"/>
  <c r="P71" i="2" s="1"/>
  <c r="Q71" i="2" s="1"/>
  <c r="D72" i="2" l="1"/>
  <c r="E72" i="2" l="1"/>
  <c r="F72" i="2" s="1"/>
  <c r="H72" i="2" l="1"/>
  <c r="I72" i="2" s="1"/>
  <c r="J72" i="2" s="1"/>
  <c r="K72" i="2" s="1"/>
  <c r="L72" i="2" s="1"/>
  <c r="M72" i="2" s="1"/>
  <c r="O72" i="2" s="1"/>
  <c r="P72" i="2" s="1"/>
  <c r="Q72" i="2" s="1"/>
  <c r="D73" i="2" l="1"/>
  <c r="E73" i="2" l="1"/>
  <c r="F73" i="2" s="1"/>
  <c r="H73" i="2" l="1"/>
  <c r="I73" i="2" s="1"/>
  <c r="J73" i="2" s="1"/>
  <c r="K73" i="2" s="1"/>
  <c r="L73" i="2" s="1"/>
  <c r="M73" i="2" s="1"/>
  <c r="O73" i="2" s="1"/>
  <c r="P73" i="2" s="1"/>
  <c r="Q73" i="2" s="1"/>
  <c r="D74" i="2" l="1"/>
  <c r="E74" i="2" l="1"/>
  <c r="F74" i="2" s="1"/>
  <c r="H74" i="2" s="1"/>
  <c r="I74" i="2" s="1"/>
  <c r="J74" i="2" s="1"/>
  <c r="K74" i="2" s="1"/>
  <c r="L74" i="2" s="1"/>
  <c r="M74" i="2" s="1"/>
  <c r="O74" i="2" s="1"/>
  <c r="P74" i="2" s="1"/>
  <c r="Q74" i="2" s="1"/>
  <c r="D75" i="2" l="1"/>
  <c r="E75" i="2" l="1"/>
  <c r="F75" i="2" s="1"/>
  <c r="H75" i="2" l="1"/>
  <c r="I75" i="2" s="1"/>
  <c r="J75" i="2" s="1"/>
  <c r="K75" i="2" s="1"/>
  <c r="L75" i="2" s="1"/>
  <c r="M75" i="2" s="1"/>
  <c r="O75" i="2" s="1"/>
  <c r="P75" i="2" s="1"/>
  <c r="Q75" i="2" s="1"/>
  <c r="D76" i="2" l="1"/>
  <c r="E76" i="2" l="1"/>
  <c r="F76" i="2" s="1"/>
  <c r="H76" i="2" l="1"/>
  <c r="I76" i="2" s="1"/>
  <c r="J76" i="2" s="1"/>
  <c r="K76" i="2" s="1"/>
  <c r="L76" i="2" s="1"/>
  <c r="M76" i="2" s="1"/>
  <c r="O76" i="2" s="1"/>
  <c r="P76" i="2" s="1"/>
  <c r="Q76" i="2" s="1"/>
  <c r="D77" i="2" l="1"/>
  <c r="E77" i="2" l="1"/>
  <c r="F77" i="2" s="1"/>
  <c r="H77" i="2" s="1"/>
  <c r="I77" i="2" s="1"/>
  <c r="J77" i="2" s="1"/>
  <c r="K77" i="2" s="1"/>
  <c r="L77" i="2" s="1"/>
  <c r="M77" i="2" s="1"/>
  <c r="O77" i="2" s="1"/>
  <c r="P77" i="2" s="1"/>
  <c r="Q77" i="2" s="1"/>
  <c r="D78" i="2" l="1"/>
  <c r="E78" i="2" l="1"/>
  <c r="F78" i="2" s="1"/>
  <c r="H78" i="2" l="1"/>
  <c r="I78" i="2" s="1"/>
  <c r="J78" i="2" s="1"/>
  <c r="K78" i="2" s="1"/>
  <c r="L78" i="2" s="1"/>
  <c r="M78" i="2" s="1"/>
  <c r="O78" i="2" s="1"/>
  <c r="P78" i="2" s="1"/>
  <c r="Q78" i="2" s="1"/>
  <c r="D79" i="2" l="1"/>
  <c r="E79" i="2" l="1"/>
  <c r="F79" i="2" s="1"/>
  <c r="H79" i="2" l="1"/>
  <c r="I79" i="2" s="1"/>
  <c r="J79" i="2" s="1"/>
  <c r="K79" i="2" s="1"/>
  <c r="L79" i="2" s="1"/>
  <c r="M79" i="2" s="1"/>
  <c r="O79" i="2" s="1"/>
  <c r="P79" i="2" s="1"/>
  <c r="Q79" i="2" s="1"/>
  <c r="D80" i="2" l="1"/>
  <c r="E80" i="2" l="1"/>
  <c r="F80" i="2" s="1"/>
  <c r="H80" i="2" s="1"/>
  <c r="I80" i="2" s="1"/>
  <c r="J80" i="2" s="1"/>
  <c r="K80" i="2" s="1"/>
  <c r="L80" i="2" s="1"/>
  <c r="M80" i="2" s="1"/>
  <c r="O80" i="2" s="1"/>
  <c r="P80" i="2" s="1"/>
  <c r="Q80" i="2" s="1"/>
  <c r="D81" i="2" l="1"/>
  <c r="E81" i="2" l="1"/>
  <c r="F81" i="2" s="1"/>
  <c r="H81" i="2" l="1"/>
  <c r="I81" i="2" s="1"/>
  <c r="J81" i="2" s="1"/>
  <c r="K81" i="2" s="1"/>
  <c r="L81" i="2" s="1"/>
  <c r="M81" i="2" s="1"/>
  <c r="O81" i="2" s="1"/>
  <c r="P81" i="2" s="1"/>
  <c r="Q81" i="2" s="1"/>
  <c r="D82" i="2" l="1"/>
  <c r="E82" i="2" l="1"/>
  <c r="F82" i="2" s="1"/>
  <c r="H82" i="2" l="1"/>
  <c r="I82" i="2" s="1"/>
  <c r="J82" i="2" s="1"/>
  <c r="K82" i="2" s="1"/>
  <c r="L82" i="2" s="1"/>
  <c r="M82" i="2" s="1"/>
  <c r="O82" i="2" s="1"/>
  <c r="P82" i="2" s="1"/>
  <c r="Q82" i="2" s="1"/>
  <c r="D83" i="2" l="1"/>
  <c r="E83" i="2" l="1"/>
  <c r="F83" i="2" s="1"/>
  <c r="H83" i="2" s="1"/>
  <c r="I83" i="2" s="1"/>
  <c r="J83" i="2" s="1"/>
  <c r="K83" i="2" s="1"/>
  <c r="L83" i="2" s="1"/>
  <c r="M83" i="2" s="1"/>
  <c r="O83" i="2" s="1"/>
  <c r="P83" i="2" s="1"/>
  <c r="Q83" i="2" s="1"/>
  <c r="D84" i="2" l="1"/>
  <c r="E84" i="2" l="1"/>
  <c r="F84" i="2" s="1"/>
  <c r="H84" i="2" l="1"/>
  <c r="I84" i="2" s="1"/>
  <c r="J84" i="2" s="1"/>
  <c r="K84" i="2" s="1"/>
  <c r="L84" i="2" s="1"/>
  <c r="M84" i="2" s="1"/>
  <c r="O84" i="2" s="1"/>
  <c r="P84" i="2" s="1"/>
  <c r="Q84" i="2" s="1"/>
  <c r="D85" i="2" l="1"/>
  <c r="E85" i="2" l="1"/>
  <c r="F85" i="2" s="1"/>
  <c r="H85" i="2" s="1"/>
  <c r="I85" i="2" s="1"/>
  <c r="J85" i="2" s="1"/>
  <c r="K85" i="2" s="1"/>
  <c r="L85" i="2" s="1"/>
  <c r="M85" i="2" s="1"/>
  <c r="O85" i="2" s="1"/>
  <c r="P85" i="2" s="1"/>
  <c r="Q85" i="2" s="1"/>
</calcChain>
</file>

<file path=xl/sharedStrings.xml><?xml version="1.0" encoding="utf-8"?>
<sst xmlns="http://schemas.openxmlformats.org/spreadsheetml/2006/main" count="56" uniqueCount="25">
  <si>
    <t>y' = sin(x-y) + x</t>
  </si>
  <si>
    <t>[1;5]</t>
  </si>
  <si>
    <t>y'(x) = f(x)</t>
  </si>
  <si>
    <t>[a,b]</t>
  </si>
  <si>
    <t>h</t>
  </si>
  <si>
    <t>y(x0) = y0</t>
  </si>
  <si>
    <t>i</t>
  </si>
  <si>
    <t>yi</t>
  </si>
  <si>
    <t>x</t>
  </si>
  <si>
    <t>f(x,y)</t>
  </si>
  <si>
    <t>f(xi,yi)</t>
  </si>
  <si>
    <t>k2</t>
  </si>
  <si>
    <t>k1</t>
  </si>
  <si>
    <t>k3</t>
  </si>
  <si>
    <t>k4</t>
  </si>
  <si>
    <t>f(xi + h/2, yi + k1/2)</t>
  </si>
  <si>
    <t>xi + h/2</t>
  </si>
  <si>
    <t>yi + k1/2</t>
  </si>
  <si>
    <t>yi + k2/2</t>
  </si>
  <si>
    <t>f(xi + h/2, yi + k2/2)</t>
  </si>
  <si>
    <t>xi + h</t>
  </si>
  <si>
    <t>yi + k3</t>
  </si>
  <si>
    <t>f(xi + h, yi + k3)</t>
  </si>
  <si>
    <t>Начало схемы Адамса</t>
  </si>
  <si>
    <t>Первые 3 итерации - метод Рунге-Кутты 4 порядка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</si>
</sst>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'Метод Эйлера'!$C$5:$C$85</c:f>
              <c:numCache>
                <c:formatCode>General</c:formatCode>
                <c:ptCount val="8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1.1500000000000001</c:v>
                </c:pt>
                <c:pt idx="4">
                  <c:v>1.2000000000000002</c:v>
                </c:pt>
                <c:pt idx="5">
                  <c:v>1.2500000000000002</c:v>
                </c:pt>
                <c:pt idx="6">
                  <c:v>1.3000000000000003</c:v>
                </c:pt>
                <c:pt idx="7">
                  <c:v>1.3500000000000003</c:v>
                </c:pt>
                <c:pt idx="8">
                  <c:v>1.4000000000000004</c:v>
                </c:pt>
                <c:pt idx="9">
                  <c:v>1.4500000000000004</c:v>
                </c:pt>
                <c:pt idx="10">
                  <c:v>1.5000000000000004</c:v>
                </c:pt>
                <c:pt idx="11">
                  <c:v>1.5500000000000005</c:v>
                </c:pt>
                <c:pt idx="12">
                  <c:v>1.6000000000000005</c:v>
                </c:pt>
                <c:pt idx="13">
                  <c:v>1.6500000000000006</c:v>
                </c:pt>
                <c:pt idx="14">
                  <c:v>1.7000000000000006</c:v>
                </c:pt>
                <c:pt idx="15">
                  <c:v>1.7500000000000007</c:v>
                </c:pt>
                <c:pt idx="16">
                  <c:v>1.8000000000000007</c:v>
                </c:pt>
                <c:pt idx="17">
                  <c:v>1.8500000000000008</c:v>
                </c:pt>
                <c:pt idx="18">
                  <c:v>1.9000000000000008</c:v>
                </c:pt>
                <c:pt idx="19">
                  <c:v>1.9500000000000008</c:v>
                </c:pt>
                <c:pt idx="20">
                  <c:v>2.0000000000000009</c:v>
                </c:pt>
                <c:pt idx="21">
                  <c:v>2.0500000000000007</c:v>
                </c:pt>
                <c:pt idx="22">
                  <c:v>2.1000000000000005</c:v>
                </c:pt>
                <c:pt idx="23">
                  <c:v>2.1500000000000004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2.3499999999999996</c:v>
                </c:pt>
                <c:pt idx="28">
                  <c:v>2.3999999999999995</c:v>
                </c:pt>
                <c:pt idx="29">
                  <c:v>2.4499999999999993</c:v>
                </c:pt>
                <c:pt idx="30">
                  <c:v>2.4999999999999991</c:v>
                </c:pt>
                <c:pt idx="31">
                  <c:v>2.5499999999999989</c:v>
                </c:pt>
                <c:pt idx="32">
                  <c:v>2.5999999999999988</c:v>
                </c:pt>
                <c:pt idx="33">
                  <c:v>2.6499999999999986</c:v>
                </c:pt>
                <c:pt idx="34">
                  <c:v>2.6999999999999984</c:v>
                </c:pt>
                <c:pt idx="35">
                  <c:v>2.7499999999999982</c:v>
                </c:pt>
                <c:pt idx="36">
                  <c:v>2.799999999999998</c:v>
                </c:pt>
                <c:pt idx="37">
                  <c:v>2.8499999999999979</c:v>
                </c:pt>
                <c:pt idx="38">
                  <c:v>2.8999999999999977</c:v>
                </c:pt>
                <c:pt idx="39">
                  <c:v>2.9499999999999975</c:v>
                </c:pt>
                <c:pt idx="40">
                  <c:v>2.9999999999999973</c:v>
                </c:pt>
                <c:pt idx="41">
                  <c:v>3.0499999999999972</c:v>
                </c:pt>
                <c:pt idx="42">
                  <c:v>3.099999999999997</c:v>
                </c:pt>
                <c:pt idx="43">
                  <c:v>3.1499999999999968</c:v>
                </c:pt>
                <c:pt idx="44">
                  <c:v>3.1999999999999966</c:v>
                </c:pt>
                <c:pt idx="45">
                  <c:v>3.2499999999999964</c:v>
                </c:pt>
                <c:pt idx="46">
                  <c:v>3.2999999999999963</c:v>
                </c:pt>
                <c:pt idx="47">
                  <c:v>3.3499999999999961</c:v>
                </c:pt>
                <c:pt idx="48">
                  <c:v>3.3999999999999959</c:v>
                </c:pt>
                <c:pt idx="49">
                  <c:v>3.4499999999999957</c:v>
                </c:pt>
                <c:pt idx="50">
                  <c:v>3.4999999999999956</c:v>
                </c:pt>
                <c:pt idx="51">
                  <c:v>3.5499999999999954</c:v>
                </c:pt>
                <c:pt idx="52">
                  <c:v>3.5999999999999952</c:v>
                </c:pt>
                <c:pt idx="53">
                  <c:v>3.649999999999995</c:v>
                </c:pt>
                <c:pt idx="54">
                  <c:v>3.6999999999999948</c:v>
                </c:pt>
                <c:pt idx="55">
                  <c:v>3.7499999999999947</c:v>
                </c:pt>
                <c:pt idx="56">
                  <c:v>3.7999999999999945</c:v>
                </c:pt>
                <c:pt idx="57">
                  <c:v>3.8499999999999943</c:v>
                </c:pt>
                <c:pt idx="58">
                  <c:v>3.8999999999999941</c:v>
                </c:pt>
                <c:pt idx="59">
                  <c:v>3.949999999999994</c:v>
                </c:pt>
                <c:pt idx="60">
                  <c:v>3.9999999999999938</c:v>
                </c:pt>
                <c:pt idx="61">
                  <c:v>4.0499999999999936</c:v>
                </c:pt>
                <c:pt idx="62">
                  <c:v>4.0999999999999934</c:v>
                </c:pt>
                <c:pt idx="63">
                  <c:v>4.1499999999999932</c:v>
                </c:pt>
                <c:pt idx="64">
                  <c:v>4.1999999999999931</c:v>
                </c:pt>
                <c:pt idx="65">
                  <c:v>4.2499999999999929</c:v>
                </c:pt>
                <c:pt idx="66">
                  <c:v>4.2999999999999927</c:v>
                </c:pt>
                <c:pt idx="67">
                  <c:v>4.3499999999999925</c:v>
                </c:pt>
                <c:pt idx="68">
                  <c:v>4.3999999999999924</c:v>
                </c:pt>
                <c:pt idx="69">
                  <c:v>4.4499999999999922</c:v>
                </c:pt>
                <c:pt idx="70">
                  <c:v>4.499999999999992</c:v>
                </c:pt>
                <c:pt idx="71">
                  <c:v>4.5499999999999918</c:v>
                </c:pt>
                <c:pt idx="72">
                  <c:v>4.5999999999999917</c:v>
                </c:pt>
                <c:pt idx="73">
                  <c:v>4.6499999999999915</c:v>
                </c:pt>
                <c:pt idx="74">
                  <c:v>4.6999999999999913</c:v>
                </c:pt>
                <c:pt idx="75">
                  <c:v>4.7499999999999911</c:v>
                </c:pt>
                <c:pt idx="76">
                  <c:v>4.7999999999999909</c:v>
                </c:pt>
                <c:pt idx="77">
                  <c:v>4.8499999999999908</c:v>
                </c:pt>
                <c:pt idx="78">
                  <c:v>4.8999999999999906</c:v>
                </c:pt>
                <c:pt idx="79">
                  <c:v>4.9499999999999904</c:v>
                </c:pt>
                <c:pt idx="80">
                  <c:v>4.9999999999999902</c:v>
                </c:pt>
              </c:numCache>
            </c:numRef>
          </c:cat>
          <c:val>
            <c:numRef>
              <c:f>'Метод Эйлера'!$D$5:$D$85</c:f>
              <c:numCache>
                <c:formatCode>General</c:formatCode>
                <c:ptCount val="81"/>
                <c:pt idx="0">
                  <c:v>2</c:v>
                </c:pt>
                <c:pt idx="1">
                  <c:v>2.0079264507596051</c:v>
                </c:pt>
                <c:pt idx="2">
                  <c:v>2.0195264214535213</c:v>
                </c:pt>
                <c:pt idx="3">
                  <c:v>2.0347606900834987</c:v>
                </c:pt>
                <c:pt idx="4">
                  <c:v>2.0535725194578465</c:v>
                </c:pt>
                <c:pt idx="5">
                  <c:v>2.0758908490326489</c:v>
                </c:pt>
                <c:pt idx="6">
                  <c:v>2.101633249907144</c:v>
                </c:pt>
                <c:pt idx="7">
                  <c:v>2.1307085984178129</c:v>
                </c:pt>
                <c:pt idx="8">
                  <c:v>2.1630194486776091</c:v>
                </c:pt>
                <c:pt idx="9">
                  <c:v>2.1984641033551684</c:v>
                </c:pt>
                <c:pt idx="10">
                  <c:v>2.2369383954551196</c:v>
                </c:pt>
                <c:pt idx="11">
                  <c:v>2.2783372026414042</c:v>
                </c:pt>
                <c:pt idx="12">
                  <c:v>2.3225557206596692</c:v>
                </c:pt>
                <c:pt idx="13">
                  <c:v>2.3694905245666247</c:v>
                </c:pt>
                <c:pt idx="14">
                  <c:v>2.4190404465735389</c:v>
                </c:pt>
                <c:pt idx="15">
                  <c:v>2.4711072980356925</c:v>
                </c:pt>
                <c:pt idx="16">
                  <c:v>2.5255964610072037</c:v>
                </c:pt>
                <c:pt idx="17">
                  <c:v>2.5824173722374253</c:v>
                </c:pt>
                <c:pt idx="18">
                  <c:v>2.6414839198037625</c:v>
                </c:pt>
                <c:pt idx="19">
                  <c:v>2.7027147699563723</c:v>
                </c:pt>
                <c:pt idx="20">
                  <c:v>2.7660336393207237</c:v>
                </c:pt>
                <c:pt idx="21">
                  <c:v>2.8313695254385354</c:v>
                </c:pt>
                <c:pt idx="22">
                  <c:v>2.8986569067617527</c:v>
                </c:pt>
                <c:pt idx="23">
                  <c:v>2.9678359216571799</c:v>
                </c:pt>
                <c:pt idx="24">
                  <c:v>3.0388525347233633</c:v>
                </c:pt>
                <c:pt idx="25">
                  <c:v>3.1116586977485725</c:v>
                </c:pt>
                <c:pt idx="26">
                  <c:v>3.1862125119265254</c:v>
                </c:pt>
                <c:pt idx="27">
                  <c:v>3.262478397470709</c:v>
                </c:pt>
                <c:pt idx="28">
                  <c:v>3.3404272765056113</c:v>
                </c:pt>
                <c:pt idx="29">
                  <c:v>3.4200367750432199</c:v>
                </c:pt>
                <c:pt idx="30">
                  <c:v>3.5012914499584524</c:v>
                </c:pt>
                <c:pt idx="31">
                  <c:v>3.5841830471442648</c:v>
                </c:pt>
                <c:pt idx="32">
                  <c:v>3.668710797446284</c:v>
                </c:pt>
                <c:pt idx="33">
                  <c:v>3.7548817575417091</c:v>
                </c:pt>
                <c:pt idx="34">
                  <c:v>3.8427112036344786</c:v>
                </c:pt>
                <c:pt idx="35">
                  <c:v>3.9322230866866965</c:v>
                </c:pt>
                <c:pt idx="36">
                  <c:v>4.0234505588935576</c:v>
                </c:pt>
                <c:pt idx="37">
                  <c:v>4.1164365822319668</c:v>
                </c:pt>
                <c:pt idx="38">
                  <c:v>4.2112346311625206</c:v>
                </c:pt>
                <c:pt idx="39">
                  <c:v>4.3079095029208858</c:v>
                </c:pt>
                <c:pt idx="40">
                  <c:v>4.4065382502602057</c:v>
                </c:pt>
                <c:pt idx="41">
                  <c:v>4.5072112529348773</c:v>
                </c:pt>
                <c:pt idx="42">
                  <c:v>4.610033445537228</c:v>
                </c:pt>
                <c:pt idx="43">
                  <c:v>4.7151257203345924</c:v>
                </c:pt>
                <c:pt idx="44">
                  <c:v>4.8226265242268784</c:v>
                </c:pt>
                <c:pt idx="45">
                  <c:v>4.9326936684278282</c:v>
                </c:pt>
                <c:pt idx="46">
                  <c:v>5.0455063673244416</c:v>
                </c:pt>
                <c:pt idx="47">
                  <c:v>5.1612675182338696</c:v>
                </c:pt>
                <c:pt idx="48">
                  <c:v>5.2802062250546351</c:v>
                </c:pt>
                <c:pt idx="49">
                  <c:v>5.4025805540698002</c:v>
                </c:pt>
                <c:pt idx="50">
                  <c:v>5.528680486503645</c:v>
                </c:pt>
                <c:pt idx="51">
                  <c:v>5.6588309957835277</c:v>
                </c:pt>
                <c:pt idx="52">
                  <c:v>5.7933951222004625</c:v>
                </c:pt>
                <c:pt idx="53">
                  <c:v>5.9327768362755959</c:v>
                </c:pt>
                <c:pt idx="54">
                  <c:v>6.0774233649473191</c:v>
                </c:pt>
                <c:pt idx="55">
                  <c:v>6.2278264899892459</c:v>
                </c:pt>
                <c:pt idx="56">
                  <c:v>6.3845221031536967</c:v>
                </c:pt>
                <c:pt idx="57">
                  <c:v>6.5480870065975276</c:v>
                </c:pt>
                <c:pt idx="58">
                  <c:v>6.7191315775367997</c:v>
                </c:pt>
                <c:pt idx="59">
                  <c:v>6.8982864902284984</c:v>
                </c:pt>
                <c:pt idx="60">
                  <c:v>7.0861812640632982</c:v>
                </c:pt>
                <c:pt idx="61">
                  <c:v>7.2834121121722797</c:v>
                </c:pt>
                <c:pt idx="62">
                  <c:v>7.4904966368811685</c:v>
                </c:pt>
                <c:pt idx="63">
                  <c:v>7.7078137302144905</c:v>
                </c:pt>
                <c:pt idx="64">
                  <c:v>7.9355290830480927</c:v>
                </c:pt>
                <c:pt idx="65">
                  <c:v>8.1735104652130186</c:v>
                </c:pt>
                <c:pt idx="66">
                  <c:v>8.4212425413770191</c:v>
                </c:pt>
                <c:pt idx="67">
                  <c:v>8.6777576563369667</c:v>
                </c:pt>
                <c:pt idx="68">
                  <c:v>8.9416044978022811</c:v>
                </c:pt>
                <c:pt idx="69">
                  <c:v>9.2108770849545962</c:v>
                </c:pt>
                <c:pt idx="70">
                  <c:v>9.4833183190625192</c:v>
                </c:pt>
                <c:pt idx="71">
                  <c:v>9.7564944488810532</c:v>
                </c:pt>
                <c:pt idx="72">
                  <c:v>10.028014113305415</c:v>
                </c:pt>
                <c:pt idx="73">
                  <c:v>10.295748275588704</c:v>
                </c:pt>
                <c:pt idx="74">
                  <c:v>10.558005162393439</c:v>
                </c:pt>
                <c:pt idx="75">
                  <c:v>10.813629407089934</c:v>
                </c:pt>
                <c:pt idx="76">
                  <c:v>11.062019217370194</c:v>
                </c:pt>
                <c:pt idx="77">
                  <c:v>11.303077442841772</c:v>
                </c:pt>
                <c:pt idx="78">
                  <c:v>11.537123640910034</c:v>
                </c:pt>
                <c:pt idx="79">
                  <c:v>11.764793905815925</c:v>
                </c:pt>
                <c:pt idx="80">
                  <c:v>11.98694787597457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F2-4582-9A4E-693BE6BCD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600560"/>
        <c:axId val="2009600976"/>
      </c:lineChart>
      <c:catAx>
        <c:axId val="200960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9600976"/>
        <c:crosses val="autoZero"/>
        <c:auto val="1"/>
        <c:lblAlgn val="ctr"/>
        <c:lblOffset val="100"/>
        <c:noMultiLvlLbl val="0"/>
      </c:catAx>
      <c:valAx>
        <c:axId val="20096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960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'Метод Рунге-Кутты'!$C$5:$C$85</c:f>
              <c:numCache>
                <c:formatCode>General</c:formatCode>
                <c:ptCount val="8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1.1500000000000001</c:v>
                </c:pt>
                <c:pt idx="4">
                  <c:v>1.2000000000000002</c:v>
                </c:pt>
                <c:pt idx="5">
                  <c:v>1.2500000000000002</c:v>
                </c:pt>
                <c:pt idx="6">
                  <c:v>1.3000000000000003</c:v>
                </c:pt>
                <c:pt idx="7">
                  <c:v>1.3500000000000003</c:v>
                </c:pt>
                <c:pt idx="8">
                  <c:v>1.4000000000000004</c:v>
                </c:pt>
                <c:pt idx="9">
                  <c:v>1.4500000000000004</c:v>
                </c:pt>
                <c:pt idx="10">
                  <c:v>1.5000000000000004</c:v>
                </c:pt>
                <c:pt idx="11">
                  <c:v>1.5500000000000005</c:v>
                </c:pt>
                <c:pt idx="12">
                  <c:v>1.6000000000000005</c:v>
                </c:pt>
                <c:pt idx="13">
                  <c:v>1.6500000000000006</c:v>
                </c:pt>
                <c:pt idx="14">
                  <c:v>1.7000000000000006</c:v>
                </c:pt>
                <c:pt idx="15">
                  <c:v>1.7500000000000007</c:v>
                </c:pt>
                <c:pt idx="16">
                  <c:v>1.8000000000000007</c:v>
                </c:pt>
                <c:pt idx="17">
                  <c:v>1.8500000000000008</c:v>
                </c:pt>
                <c:pt idx="18">
                  <c:v>1.9000000000000008</c:v>
                </c:pt>
                <c:pt idx="19">
                  <c:v>1.9500000000000008</c:v>
                </c:pt>
                <c:pt idx="20">
                  <c:v>2.0000000000000009</c:v>
                </c:pt>
                <c:pt idx="21">
                  <c:v>2.0500000000000007</c:v>
                </c:pt>
                <c:pt idx="22">
                  <c:v>2.1000000000000005</c:v>
                </c:pt>
                <c:pt idx="23">
                  <c:v>2.1500000000000004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2.3499999999999996</c:v>
                </c:pt>
                <c:pt idx="28">
                  <c:v>2.3999999999999995</c:v>
                </c:pt>
                <c:pt idx="29">
                  <c:v>2.4499999999999993</c:v>
                </c:pt>
                <c:pt idx="30">
                  <c:v>2.4999999999999991</c:v>
                </c:pt>
                <c:pt idx="31">
                  <c:v>2.5499999999999989</c:v>
                </c:pt>
                <c:pt idx="32">
                  <c:v>2.5999999999999988</c:v>
                </c:pt>
                <c:pt idx="33">
                  <c:v>2.6499999999999986</c:v>
                </c:pt>
                <c:pt idx="34">
                  <c:v>2.6999999999999984</c:v>
                </c:pt>
                <c:pt idx="35">
                  <c:v>2.7499999999999982</c:v>
                </c:pt>
                <c:pt idx="36">
                  <c:v>2.799999999999998</c:v>
                </c:pt>
                <c:pt idx="37">
                  <c:v>2.8499999999999979</c:v>
                </c:pt>
                <c:pt idx="38">
                  <c:v>2.8999999999999977</c:v>
                </c:pt>
                <c:pt idx="39">
                  <c:v>2.9499999999999975</c:v>
                </c:pt>
                <c:pt idx="40">
                  <c:v>2.9999999999999973</c:v>
                </c:pt>
                <c:pt idx="41">
                  <c:v>3.0499999999999972</c:v>
                </c:pt>
                <c:pt idx="42">
                  <c:v>3.099999999999997</c:v>
                </c:pt>
                <c:pt idx="43">
                  <c:v>3.1499999999999968</c:v>
                </c:pt>
                <c:pt idx="44">
                  <c:v>3.1999999999999966</c:v>
                </c:pt>
                <c:pt idx="45">
                  <c:v>3.2499999999999964</c:v>
                </c:pt>
                <c:pt idx="46">
                  <c:v>3.2999999999999963</c:v>
                </c:pt>
                <c:pt idx="47">
                  <c:v>3.3499999999999961</c:v>
                </c:pt>
                <c:pt idx="48">
                  <c:v>3.3999999999999959</c:v>
                </c:pt>
                <c:pt idx="49">
                  <c:v>3.4499999999999957</c:v>
                </c:pt>
                <c:pt idx="50">
                  <c:v>3.4999999999999956</c:v>
                </c:pt>
                <c:pt idx="51">
                  <c:v>3.5499999999999954</c:v>
                </c:pt>
                <c:pt idx="52">
                  <c:v>3.5999999999999952</c:v>
                </c:pt>
                <c:pt idx="53">
                  <c:v>3.649999999999995</c:v>
                </c:pt>
                <c:pt idx="54">
                  <c:v>3.6999999999999948</c:v>
                </c:pt>
                <c:pt idx="55">
                  <c:v>3.7499999999999947</c:v>
                </c:pt>
                <c:pt idx="56">
                  <c:v>3.7999999999999945</c:v>
                </c:pt>
                <c:pt idx="57">
                  <c:v>3.8499999999999943</c:v>
                </c:pt>
                <c:pt idx="58">
                  <c:v>3.8999999999999941</c:v>
                </c:pt>
                <c:pt idx="59">
                  <c:v>3.949999999999994</c:v>
                </c:pt>
                <c:pt idx="60">
                  <c:v>3.9999999999999938</c:v>
                </c:pt>
                <c:pt idx="61">
                  <c:v>4.0499999999999936</c:v>
                </c:pt>
                <c:pt idx="62">
                  <c:v>4.0999999999999934</c:v>
                </c:pt>
                <c:pt idx="63">
                  <c:v>4.1499999999999932</c:v>
                </c:pt>
                <c:pt idx="64">
                  <c:v>4.1999999999999931</c:v>
                </c:pt>
                <c:pt idx="65">
                  <c:v>4.2499999999999929</c:v>
                </c:pt>
                <c:pt idx="66">
                  <c:v>4.2999999999999927</c:v>
                </c:pt>
                <c:pt idx="67">
                  <c:v>4.3499999999999925</c:v>
                </c:pt>
                <c:pt idx="68">
                  <c:v>4.3999999999999924</c:v>
                </c:pt>
                <c:pt idx="69">
                  <c:v>4.4499999999999922</c:v>
                </c:pt>
                <c:pt idx="70">
                  <c:v>4.499999999999992</c:v>
                </c:pt>
                <c:pt idx="71">
                  <c:v>4.5499999999999918</c:v>
                </c:pt>
                <c:pt idx="72">
                  <c:v>4.5999999999999917</c:v>
                </c:pt>
                <c:pt idx="73">
                  <c:v>4.6499999999999915</c:v>
                </c:pt>
                <c:pt idx="74">
                  <c:v>4.6999999999999913</c:v>
                </c:pt>
                <c:pt idx="75">
                  <c:v>4.7499999999999911</c:v>
                </c:pt>
                <c:pt idx="76">
                  <c:v>4.7999999999999909</c:v>
                </c:pt>
                <c:pt idx="77">
                  <c:v>4.8499999999999908</c:v>
                </c:pt>
                <c:pt idx="78">
                  <c:v>4.8999999999999906</c:v>
                </c:pt>
                <c:pt idx="79">
                  <c:v>4.9499999999999904</c:v>
                </c:pt>
                <c:pt idx="80">
                  <c:v>4.9999999999999902</c:v>
                </c:pt>
              </c:numCache>
            </c:numRef>
          </c:cat>
          <c:val>
            <c:numRef>
              <c:f>'Метод Рунге-Кутты'!$D$5:$D$85</c:f>
              <c:numCache>
                <c:formatCode>General</c:formatCode>
                <c:ptCount val="81"/>
                <c:pt idx="0">
                  <c:v>2</c:v>
                </c:pt>
                <c:pt idx="1">
                  <c:v>2.009739971692512</c:v>
                </c:pt>
                <c:pt idx="2">
                  <c:v>2.0230815530554382</c:v>
                </c:pt>
                <c:pt idx="3">
                  <c:v>2.0399740049872381</c:v>
                </c:pt>
                <c:pt idx="4">
                  <c:v>2.060352222895907</c:v>
                </c:pt>
                <c:pt idx="5">
                  <c:v>2.084139596647312</c:v>
                </c:pt>
                <c:pt idx="6">
                  <c:v>2.1112506036698355</c:v>
                </c:pt>
                <c:pt idx="7">
                  <c:v>2.1415931169038247</c:v>
                </c:pt>
                <c:pt idx="8">
                  <c:v>2.1750704267384462</c:v>
                </c:pt>
                <c:pt idx="9">
                  <c:v>2.2115829885097735</c:v>
                </c:pt>
                <c:pt idx="10">
                  <c:v>2.2510299152948181</c:v>
                </c:pt>
                <c:pt idx="11">
                  <c:v>2.2933102404679899</c:v>
                </c:pt>
                <c:pt idx="12">
                  <c:v>2.3383239766060733</c:v>
                </c:pt>
                <c:pt idx="13">
                  <c:v>2.3859729975629609</c:v>
                </c:pt>
                <c:pt idx="14">
                  <c:v>2.43616176949496</c:v>
                </c:pt>
                <c:pt idx="15">
                  <c:v>2.4887979547859129</c:v>
                </c:pt>
                <c:pt idx="16">
                  <c:v>2.5437929105670261</c:v>
                </c:pt>
                <c:pt idx="17">
                  <c:v>2.601062101117253</c:v>
                </c:pt>
                <c:pt idx="18">
                  <c:v>2.6605254410522492</c:v>
                </c:pt>
                <c:pt idx="19">
                  <c:v>2.7221075839848385</c:v>
                </c:pt>
                <c:pt idx="20">
                  <c:v>2.7857381693407186</c:v>
                </c:pt>
                <c:pt idx="21">
                  <c:v>2.8513520382777586</c:v>
                </c:pt>
                <c:pt idx="22">
                  <c:v>2.918889428199404</c:v>
                </c:pt>
                <c:pt idx="23">
                  <c:v>2.988296154170071</c:v>
                </c:pt>
                <c:pt idx="24">
                  <c:v>3.0595237846210632</c:v>
                </c:pt>
                <c:pt idx="25">
                  <c:v>3.1325298180624435</c:v>
                </c:pt>
                <c:pt idx="26">
                  <c:v>3.2072778670707751</c:v>
                </c:pt>
                <c:pt idx="27">
                  <c:v>3.283737855586542</c:v>
                </c:pt>
                <c:pt idx="28">
                  <c:v>3.3618862355123458</c:v>
                </c:pt>
                <c:pt idx="29">
                  <c:v>3.4417062287407076</c:v>
                </c:pt>
                <c:pt idx="30">
                  <c:v>3.5231881010491044</c:v>
                </c:pt>
                <c:pt idx="31">
                  <c:v>3.6063294747741352</c:v>
                </c:pt>
                <c:pt idx="32">
                  <c:v>3.691135687814517</c:v>
                </c:pt>
                <c:pt idx="33">
                  <c:v>3.777620207315123</c:v>
                </c:pt>
                <c:pt idx="34">
                  <c:v>3.8658051073550808</c:v>
                </c:pt>
                <c:pt idx="35">
                  <c:v>3.9557216211064326</c:v>
                </c:pt>
                <c:pt idx="36">
                  <c:v>4.0474107792492298</c:v>
                </c:pt>
                <c:pt idx="37">
                  <c:v>4.1409241479226235</c:v>
                </c:pt>
                <c:pt idx="38">
                  <c:v>4.2363246811481989</c:v>
                </c:pt>
                <c:pt idx="39">
                  <c:v>4.3336877044524602</c:v>
                </c:pt>
                <c:pt idx="40">
                  <c:v>4.4331020482814587</c:v>
                </c:pt>
                <c:pt idx="41">
                  <c:v>4.5346713516363364</c:v>
                </c:pt>
                <c:pt idx="42">
                  <c:v>4.6385155579844586</c:v>
                </c:pt>
                <c:pt idx="43">
                  <c:v>4.7447726266241359</c:v>
                </c:pt>
                <c:pt idx="44">
                  <c:v>4.8536004828378454</c:v>
                </c:pt>
                <c:pt idx="45">
                  <c:v>4.9651792286396095</c:v>
                </c:pt>
                <c:pt idx="46">
                  <c:v>5.0797136316087173</c:v>
                </c:pt>
                <c:pt idx="47">
                  <c:v>5.1974359005535904</c:v>
                </c:pt>
                <c:pt idx="48">
                  <c:v>5.3186087411197969</c:v>
                </c:pt>
                <c:pt idx="49">
                  <c:v>5.4435286583730074</c:v>
                </c:pt>
                <c:pt idx="50">
                  <c:v>5.57252943172639</c:v>
                </c:pt>
                <c:pt idx="51">
                  <c:v>5.7059856231508865</c:v>
                </c:pt>
                <c:pt idx="52">
                  <c:v>5.8443158826120261</c:v>
                </c:pt>
                <c:pt idx="53">
                  <c:v>5.9879856723490219</c:v>
                </c:pt>
                <c:pt idx="54">
                  <c:v>6.137508828413468</c:v>
                </c:pt>
                <c:pt idx="55">
                  <c:v>6.2934470971354193</c:v>
                </c:pt>
                <c:pt idx="56">
                  <c:v>6.4564064126315808</c:v>
                </c:pt>
                <c:pt idx="57">
                  <c:v>6.627028219310569</c:v>
                </c:pt>
                <c:pt idx="58">
                  <c:v>6.8059736232037613</c:v>
                </c:pt>
                <c:pt idx="59">
                  <c:v>6.9938976745436561</c:v>
                </c:pt>
                <c:pt idx="60">
                  <c:v>7.1914108467138051</c:v>
                </c:pt>
                <c:pt idx="61">
                  <c:v>7.3990251446523594</c:v>
                </c:pt>
                <c:pt idx="62">
                  <c:v>7.6170837797837292</c:v>
                </c:pt>
                <c:pt idx="63">
                  <c:v>7.8456765945565774</c:v>
                </c:pt>
                <c:pt idx="64">
                  <c:v>8.0845487786998227</c:v>
                </c:pt>
                <c:pt idx="65">
                  <c:v>8.3330174384341049</c:v>
                </c:pt>
                <c:pt idx="66">
                  <c:v>8.5899172818279599</c:v>
                </c:pt>
                <c:pt idx="67">
                  <c:v>8.853599362173469</c:v>
                </c:pt>
                <c:pt idx="68">
                  <c:v>9.1220012521244485</c:v>
                </c:pt>
                <c:pt idx="69">
                  <c:v>9.3927914105028645</c:v>
                </c:pt>
                <c:pt idx="70">
                  <c:v>9.663568597879868</c:v>
                </c:pt>
                <c:pt idx="71">
                  <c:v>9.9320782621064563</c:v>
                </c:pt>
                <c:pt idx="72">
                  <c:v>10.196401649822526</c:v>
                </c:pt>
                <c:pt idx="73">
                  <c:v>10.455083449448002</c:v>
                </c:pt>
                <c:pt idx="74">
                  <c:v>10.707184487968837</c:v>
                </c:pt>
                <c:pt idx="75">
                  <c:v>10.952267048032571</c:v>
                </c:pt>
                <c:pt idx="76">
                  <c:v>11.19033357755271</c:v>
                </c:pt>
                <c:pt idx="77">
                  <c:v>11.421742752419984</c:v>
                </c:pt>
                <c:pt idx="78">
                  <c:v>11.64712276219826</c:v>
                </c:pt>
                <c:pt idx="79">
                  <c:v>11.867294629524562</c:v>
                </c:pt>
                <c:pt idx="80">
                  <c:v>12.083211659051008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CA-43A0-9C38-D1FEE76E3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981504"/>
        <c:axId val="106981920"/>
      </c:lineChart>
      <c:catAx>
        <c:axId val="10698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981920"/>
        <c:crosses val="autoZero"/>
        <c:auto val="1"/>
        <c:lblAlgn val="ctr"/>
        <c:lblOffset val="100"/>
        <c:noMultiLvlLbl val="0"/>
      </c:catAx>
      <c:valAx>
        <c:axId val="10698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98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'Метод Адамса'!$C$5:$C$85</c:f>
              <c:numCache>
                <c:formatCode>General</c:formatCode>
                <c:ptCount val="8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1.1500000000000001</c:v>
                </c:pt>
                <c:pt idx="4">
                  <c:v>1.2000000000000002</c:v>
                </c:pt>
                <c:pt idx="5">
                  <c:v>1.2500000000000002</c:v>
                </c:pt>
                <c:pt idx="6">
                  <c:v>1.3000000000000003</c:v>
                </c:pt>
                <c:pt idx="7">
                  <c:v>1.3500000000000003</c:v>
                </c:pt>
                <c:pt idx="8">
                  <c:v>1.4000000000000004</c:v>
                </c:pt>
                <c:pt idx="9">
                  <c:v>1.4500000000000004</c:v>
                </c:pt>
                <c:pt idx="10">
                  <c:v>1.5000000000000004</c:v>
                </c:pt>
                <c:pt idx="11">
                  <c:v>1.5500000000000005</c:v>
                </c:pt>
                <c:pt idx="12">
                  <c:v>1.6000000000000005</c:v>
                </c:pt>
                <c:pt idx="13">
                  <c:v>1.6500000000000006</c:v>
                </c:pt>
                <c:pt idx="14">
                  <c:v>1.7000000000000006</c:v>
                </c:pt>
                <c:pt idx="15">
                  <c:v>1.7500000000000007</c:v>
                </c:pt>
                <c:pt idx="16">
                  <c:v>1.8000000000000007</c:v>
                </c:pt>
                <c:pt idx="17">
                  <c:v>1.8500000000000008</c:v>
                </c:pt>
                <c:pt idx="18">
                  <c:v>1.9000000000000008</c:v>
                </c:pt>
                <c:pt idx="19">
                  <c:v>1.9500000000000008</c:v>
                </c:pt>
                <c:pt idx="20">
                  <c:v>2.0000000000000009</c:v>
                </c:pt>
                <c:pt idx="21">
                  <c:v>2.0500000000000007</c:v>
                </c:pt>
                <c:pt idx="22">
                  <c:v>2.1000000000000005</c:v>
                </c:pt>
                <c:pt idx="23">
                  <c:v>2.1500000000000004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2.3499999999999996</c:v>
                </c:pt>
                <c:pt idx="28">
                  <c:v>2.3999999999999995</c:v>
                </c:pt>
                <c:pt idx="29">
                  <c:v>2.4499999999999993</c:v>
                </c:pt>
                <c:pt idx="30">
                  <c:v>2.4999999999999991</c:v>
                </c:pt>
                <c:pt idx="31">
                  <c:v>2.5499999999999989</c:v>
                </c:pt>
                <c:pt idx="32">
                  <c:v>2.5999999999999988</c:v>
                </c:pt>
                <c:pt idx="33">
                  <c:v>2.6499999999999986</c:v>
                </c:pt>
                <c:pt idx="34">
                  <c:v>2.6999999999999984</c:v>
                </c:pt>
                <c:pt idx="35">
                  <c:v>2.7499999999999982</c:v>
                </c:pt>
                <c:pt idx="36">
                  <c:v>2.799999999999998</c:v>
                </c:pt>
                <c:pt idx="37">
                  <c:v>2.8499999999999979</c:v>
                </c:pt>
                <c:pt idx="38">
                  <c:v>2.8999999999999977</c:v>
                </c:pt>
                <c:pt idx="39">
                  <c:v>2.9499999999999975</c:v>
                </c:pt>
                <c:pt idx="40">
                  <c:v>2.9999999999999973</c:v>
                </c:pt>
                <c:pt idx="41">
                  <c:v>3.0499999999999972</c:v>
                </c:pt>
                <c:pt idx="42">
                  <c:v>3.099999999999997</c:v>
                </c:pt>
                <c:pt idx="43">
                  <c:v>3.1499999999999968</c:v>
                </c:pt>
                <c:pt idx="44">
                  <c:v>3.1999999999999966</c:v>
                </c:pt>
                <c:pt idx="45">
                  <c:v>3.2499999999999964</c:v>
                </c:pt>
                <c:pt idx="46">
                  <c:v>3.2999999999999963</c:v>
                </c:pt>
                <c:pt idx="47">
                  <c:v>3.3499999999999961</c:v>
                </c:pt>
                <c:pt idx="48">
                  <c:v>3.3999999999999959</c:v>
                </c:pt>
                <c:pt idx="49">
                  <c:v>3.4499999999999957</c:v>
                </c:pt>
                <c:pt idx="50">
                  <c:v>3.4999999999999956</c:v>
                </c:pt>
                <c:pt idx="51">
                  <c:v>3.5499999999999954</c:v>
                </c:pt>
                <c:pt idx="52">
                  <c:v>3.5999999999999952</c:v>
                </c:pt>
                <c:pt idx="53">
                  <c:v>3.649999999999995</c:v>
                </c:pt>
                <c:pt idx="54">
                  <c:v>3.6999999999999948</c:v>
                </c:pt>
                <c:pt idx="55">
                  <c:v>3.7499999999999947</c:v>
                </c:pt>
                <c:pt idx="56">
                  <c:v>3.7999999999999945</c:v>
                </c:pt>
                <c:pt idx="57">
                  <c:v>3.8499999999999943</c:v>
                </c:pt>
                <c:pt idx="58">
                  <c:v>3.8999999999999941</c:v>
                </c:pt>
                <c:pt idx="59">
                  <c:v>3.949999999999994</c:v>
                </c:pt>
                <c:pt idx="60">
                  <c:v>3.9999999999999938</c:v>
                </c:pt>
                <c:pt idx="61">
                  <c:v>4.0499999999999936</c:v>
                </c:pt>
                <c:pt idx="62">
                  <c:v>4.0999999999999934</c:v>
                </c:pt>
                <c:pt idx="63">
                  <c:v>4.1499999999999932</c:v>
                </c:pt>
                <c:pt idx="64">
                  <c:v>4.1999999999999931</c:v>
                </c:pt>
                <c:pt idx="65">
                  <c:v>4.2499999999999929</c:v>
                </c:pt>
                <c:pt idx="66">
                  <c:v>4.2999999999999927</c:v>
                </c:pt>
                <c:pt idx="67">
                  <c:v>4.3499999999999925</c:v>
                </c:pt>
                <c:pt idx="68">
                  <c:v>4.3999999999999924</c:v>
                </c:pt>
                <c:pt idx="69">
                  <c:v>4.4499999999999922</c:v>
                </c:pt>
                <c:pt idx="70">
                  <c:v>4.499999999999992</c:v>
                </c:pt>
                <c:pt idx="71">
                  <c:v>4.5499999999999918</c:v>
                </c:pt>
                <c:pt idx="72">
                  <c:v>4.5999999999999917</c:v>
                </c:pt>
                <c:pt idx="73">
                  <c:v>4.6499999999999915</c:v>
                </c:pt>
                <c:pt idx="74">
                  <c:v>4.6999999999999913</c:v>
                </c:pt>
                <c:pt idx="75">
                  <c:v>4.7499999999999911</c:v>
                </c:pt>
                <c:pt idx="76">
                  <c:v>4.7999999999999909</c:v>
                </c:pt>
                <c:pt idx="77">
                  <c:v>4.8499999999999908</c:v>
                </c:pt>
                <c:pt idx="78">
                  <c:v>4.8999999999999906</c:v>
                </c:pt>
                <c:pt idx="79">
                  <c:v>4.9499999999999904</c:v>
                </c:pt>
                <c:pt idx="80">
                  <c:v>4.9999999999999902</c:v>
                </c:pt>
              </c:numCache>
            </c:numRef>
          </c:cat>
          <c:val>
            <c:numRef>
              <c:f>'Метод Адамса'!$D$5:$D$85</c:f>
              <c:numCache>
                <c:formatCode>General</c:formatCode>
                <c:ptCount val="81"/>
                <c:pt idx="0">
                  <c:v>2</c:v>
                </c:pt>
                <c:pt idx="1">
                  <c:v>2.009739971692512</c:v>
                </c:pt>
                <c:pt idx="2">
                  <c:v>2.0230815530554382</c:v>
                </c:pt>
                <c:pt idx="3">
                  <c:v>2.0399740049872381</c:v>
                </c:pt>
                <c:pt idx="4">
                  <c:v>2.0603511741462568</c:v>
                </c:pt>
                <c:pt idx="5">
                  <c:v>2.0841376644656182</c:v>
                </c:pt>
                <c:pt idx="6">
                  <c:v>2.1112478717639807</c:v>
                </c:pt>
                <c:pt idx="7">
                  <c:v>2.1415897300663502</c:v>
                </c:pt>
                <c:pt idx="8">
                  <c:v>2.1750665037676051</c:v>
                </c:pt>
                <c:pt idx="9">
                  <c:v>2.2115786431821127</c:v>
                </c:pt>
                <c:pt idx="10">
                  <c:v>2.2510252478626405</c:v>
                </c:pt>
                <c:pt idx="11">
                  <c:v>2.2933053390525657</c:v>
                </c:pt>
                <c:pt idx="12">
                  <c:v>2.3383189164164775</c:v>
                </c:pt>
                <c:pt idx="13">
                  <c:v>2.3859678416478873</c:v>
                </c:pt>
                <c:pt idx="14">
                  <c:v>2.4361565695807839</c:v>
                </c:pt>
                <c:pt idx="15">
                  <c:v>2.4887927524166509</c:v>
                </c:pt>
                <c:pt idx="16">
                  <c:v>2.5437877382906366</c:v>
                </c:pt>
                <c:pt idx="17">
                  <c:v>2.6010569836694808</c:v>
                </c:pt>
                <c:pt idx="18">
                  <c:v>2.6605203964664055</c:v>
                </c:pt>
                <c:pt idx="19">
                  <c:v>2.7221026245966953</c:v>
                </c:pt>
                <c:pt idx="20">
                  <c:v>2.7857333026690765</c:v>
                </c:pt>
                <c:pt idx="21">
                  <c:v>2.8513472677748886</c:v>
                </c:pt>
                <c:pt idx="22">
                  <c:v>2.9188847538727472</c:v>
                </c:pt>
                <c:pt idx="23">
                  <c:v>2.9882915730814688</c:v>
                </c:pt>
                <c:pt idx="24">
                  <c:v>3.0595192912721605</c:v>
                </c:pt>
                <c:pt idx="25">
                  <c:v>3.1325254046757434</c:v>
                </c:pt>
                <c:pt idx="26">
                  <c:v>3.207273523775501</c:v>
                </c:pt>
                <c:pt idx="27">
                  <c:v>3.2837335705173767</c:v>
                </c:pt>
                <c:pt idx="28">
                  <c:v>3.3618819948275429</c:v>
                </c:pt>
                <c:pt idx="29">
                  <c:v>3.4417020165641752</c:v>
                </c:pt>
                <c:pt idx="30">
                  <c:v>3.5231838993389886</c:v>
                </c:pt>
                <c:pt idx="31">
                  <c:v>3.6063252631182916</c:v>
                </c:pt>
                <c:pt idx="32">
                  <c:v>3.6911314431511157</c:v>
                </c:pt>
                <c:pt idx="33">
                  <c:v>3.7776159035745915</c:v>
                </c:pt>
                <c:pt idx="34">
                  <c:v>3.8658007150177514</c:v>
                </c:pt>
                <c:pt idx="35">
                  <c:v>3.9557171066688133</c:v>
                </c:pt>
                <c:pt idx="36">
                  <c:v>4.0474061045910146</c:v>
                </c:pt>
                <c:pt idx="37">
                  <c:v>4.1409192695668597</c:v>
                </c:pt>
                <c:pt idx="38">
                  <c:v>4.236319549409127</c:v>
                </c:pt>
                <c:pt idx="39">
                  <c:v>4.3336822624705134</c:v>
                </c:pt>
                <c:pt idx="40">
                  <c:v>4.4330962309544928</c:v>
                </c:pt>
                <c:pt idx="41">
                  <c:v>4.5346650844729357</c:v>
                </c:pt>
                <c:pt idx="42">
                  <c:v>4.6385087559331151</c:v>
                </c:pt>
                <c:pt idx="43">
                  <c:v>4.7447651929772192</c:v>
                </c:pt>
                <c:pt idx="44">
                  <c:v>4.8535923083804526</c:v>
                </c:pt>
                <c:pt idx="45">
                  <c:v>4.9651701913236757</c:v>
                </c:pt>
                <c:pt idx="46">
                  <c:v>5.0797035972010347</c:v>
                </c:pt>
                <c:pt idx="47">
                  <c:v>5.1974247249591139</c:v>
                </c:pt>
                <c:pt idx="48">
                  <c:v>5.318596275454861</c:v>
                </c:pt>
                <c:pt idx="49">
                  <c:v>5.4435147584031087</c:v>
                </c:pt>
                <c:pt idx="50">
                  <c:v>5.5725139740439351</c:v>
                </c:pt>
                <c:pt idx="51">
                  <c:v>5.7059685315004387</c:v>
                </c:pt>
                <c:pt idx="52">
                  <c:v>5.8442971690928385</c:v>
                </c:pt>
                <c:pt idx="53">
                  <c:v>5.9879654997603753</c:v>
                </c:pt>
                <c:pt idx="54">
                  <c:v>6.1374876014585293</c:v>
                </c:pt>
                <c:pt idx="55">
                  <c:v>6.2934255908126762</c:v>
                </c:pt>
                <c:pt idx="56">
                  <c:v>6.4563859443413385</c:v>
                </c:pt>
                <c:pt idx="57">
                  <c:v>6.6270108640693977</c:v>
                </c:pt>
                <c:pt idx="58">
                  <c:v>6.8059624541579717</c:v>
                </c:pt>
                <c:pt idx="59">
                  <c:v>6.9938969773300599</c:v>
                </c:pt>
                <c:pt idx="60">
                  <c:v>7.1914262004193326</c:v>
                </c:pt>
                <c:pt idx="61">
                  <c:v>7.3990631861489735</c:v>
                </c:pt>
                <c:pt idx="62">
                  <c:v>7.6171513962022352</c:v>
                </c:pt>
                <c:pt idx="63">
                  <c:v>7.8457792868805774</c:v>
                </c:pt>
                <c:pt idx="64">
                  <c:v>8.0846881241940771</c:v>
                </c:pt>
                <c:pt idx="65">
                  <c:v>8.3331880691096778</c:v>
                </c:pt>
                <c:pt idx="66">
                  <c:v>8.5901045563573</c:v>
                </c:pt>
                <c:pt idx="67">
                  <c:v>8.8537795348303181</c:v>
                </c:pt>
                <c:pt idx="68">
                  <c:v>9.1221456486622312</c:v>
                </c:pt>
                <c:pt idx="69">
                  <c:v>9.3928743287102527</c:v>
                </c:pt>
                <c:pt idx="70">
                  <c:v>9.6635760090963991</c:v>
                </c:pt>
                <c:pt idx="71">
                  <c:v>9.9320129599551432</c:v>
                </c:pt>
                <c:pt idx="72">
                  <c:v>10.196281999673044</c:v>
                </c:pt>
                <c:pt idx="73">
                  <c:v>10.454936548474988</c:v>
                </c:pt>
                <c:pt idx="74">
                  <c:v>10.707037478208186</c:v>
                </c:pt>
                <c:pt idx="75">
                  <c:v>10.952140493028072</c:v>
                </c:pt>
                <c:pt idx="76">
                  <c:v>11.190238759755541</c:v>
                </c:pt>
                <c:pt idx="77">
                  <c:v>11.421682440199046</c:v>
                </c:pt>
                <c:pt idx="78">
                  <c:v>11.647093817881935</c:v>
                </c:pt>
                <c:pt idx="79">
                  <c:v>11.867290885761694</c:v>
                </c:pt>
                <c:pt idx="80">
                  <c:v>12.083226153916728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F-4C08-919D-1CA1D6A1C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08992"/>
        <c:axId val="106979008"/>
      </c:lineChart>
      <c:catAx>
        <c:axId val="7270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979008"/>
        <c:crosses val="autoZero"/>
        <c:auto val="1"/>
        <c:lblAlgn val="ctr"/>
        <c:lblOffset val="100"/>
        <c:noMultiLvlLbl val="0"/>
      </c:catAx>
      <c:valAx>
        <c:axId val="10697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667660160560927E-2"/>
          <c:y val="5.092590513762154E-2"/>
          <c:w val="0.72298510786910908"/>
          <c:h val="0.84848105799402374"/>
        </c:manualLayout>
      </c:layout>
      <c:lineChart>
        <c:grouping val="standard"/>
        <c:varyColors val="0"/>
        <c:ser>
          <c:idx val="0"/>
          <c:order val="0"/>
          <c:tx>
            <c:v>Метод Эйлера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'Метод Адамса'!$C$5:$C$85</c:f>
              <c:numCache>
                <c:formatCode>General</c:formatCode>
                <c:ptCount val="8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1.1500000000000001</c:v>
                </c:pt>
                <c:pt idx="4">
                  <c:v>1.2000000000000002</c:v>
                </c:pt>
                <c:pt idx="5">
                  <c:v>1.2500000000000002</c:v>
                </c:pt>
                <c:pt idx="6">
                  <c:v>1.3000000000000003</c:v>
                </c:pt>
                <c:pt idx="7">
                  <c:v>1.3500000000000003</c:v>
                </c:pt>
                <c:pt idx="8">
                  <c:v>1.4000000000000004</c:v>
                </c:pt>
                <c:pt idx="9">
                  <c:v>1.4500000000000004</c:v>
                </c:pt>
                <c:pt idx="10">
                  <c:v>1.5000000000000004</c:v>
                </c:pt>
                <c:pt idx="11">
                  <c:v>1.5500000000000005</c:v>
                </c:pt>
                <c:pt idx="12">
                  <c:v>1.6000000000000005</c:v>
                </c:pt>
                <c:pt idx="13">
                  <c:v>1.6500000000000006</c:v>
                </c:pt>
                <c:pt idx="14">
                  <c:v>1.7000000000000006</c:v>
                </c:pt>
                <c:pt idx="15">
                  <c:v>1.7500000000000007</c:v>
                </c:pt>
                <c:pt idx="16">
                  <c:v>1.8000000000000007</c:v>
                </c:pt>
                <c:pt idx="17">
                  <c:v>1.8500000000000008</c:v>
                </c:pt>
                <c:pt idx="18">
                  <c:v>1.9000000000000008</c:v>
                </c:pt>
                <c:pt idx="19">
                  <c:v>1.9500000000000008</c:v>
                </c:pt>
                <c:pt idx="20">
                  <c:v>2.0000000000000009</c:v>
                </c:pt>
                <c:pt idx="21">
                  <c:v>2.0500000000000007</c:v>
                </c:pt>
                <c:pt idx="22">
                  <c:v>2.1000000000000005</c:v>
                </c:pt>
                <c:pt idx="23">
                  <c:v>2.1500000000000004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2.3499999999999996</c:v>
                </c:pt>
                <c:pt idx="28">
                  <c:v>2.3999999999999995</c:v>
                </c:pt>
                <c:pt idx="29">
                  <c:v>2.4499999999999993</c:v>
                </c:pt>
                <c:pt idx="30">
                  <c:v>2.4999999999999991</c:v>
                </c:pt>
                <c:pt idx="31">
                  <c:v>2.5499999999999989</c:v>
                </c:pt>
                <c:pt idx="32">
                  <c:v>2.5999999999999988</c:v>
                </c:pt>
                <c:pt idx="33">
                  <c:v>2.6499999999999986</c:v>
                </c:pt>
                <c:pt idx="34">
                  <c:v>2.6999999999999984</c:v>
                </c:pt>
                <c:pt idx="35">
                  <c:v>2.7499999999999982</c:v>
                </c:pt>
                <c:pt idx="36">
                  <c:v>2.799999999999998</c:v>
                </c:pt>
                <c:pt idx="37">
                  <c:v>2.8499999999999979</c:v>
                </c:pt>
                <c:pt idx="38">
                  <c:v>2.8999999999999977</c:v>
                </c:pt>
                <c:pt idx="39">
                  <c:v>2.9499999999999975</c:v>
                </c:pt>
                <c:pt idx="40">
                  <c:v>2.9999999999999973</c:v>
                </c:pt>
                <c:pt idx="41">
                  <c:v>3.0499999999999972</c:v>
                </c:pt>
                <c:pt idx="42">
                  <c:v>3.099999999999997</c:v>
                </c:pt>
                <c:pt idx="43">
                  <c:v>3.1499999999999968</c:v>
                </c:pt>
                <c:pt idx="44">
                  <c:v>3.1999999999999966</c:v>
                </c:pt>
                <c:pt idx="45">
                  <c:v>3.2499999999999964</c:v>
                </c:pt>
                <c:pt idx="46">
                  <c:v>3.2999999999999963</c:v>
                </c:pt>
                <c:pt idx="47">
                  <c:v>3.3499999999999961</c:v>
                </c:pt>
                <c:pt idx="48">
                  <c:v>3.3999999999999959</c:v>
                </c:pt>
                <c:pt idx="49">
                  <c:v>3.4499999999999957</c:v>
                </c:pt>
                <c:pt idx="50">
                  <c:v>3.4999999999999956</c:v>
                </c:pt>
                <c:pt idx="51">
                  <c:v>3.5499999999999954</c:v>
                </c:pt>
                <c:pt idx="52">
                  <c:v>3.5999999999999952</c:v>
                </c:pt>
                <c:pt idx="53">
                  <c:v>3.649999999999995</c:v>
                </c:pt>
                <c:pt idx="54">
                  <c:v>3.6999999999999948</c:v>
                </c:pt>
                <c:pt idx="55">
                  <c:v>3.7499999999999947</c:v>
                </c:pt>
                <c:pt idx="56">
                  <c:v>3.7999999999999945</c:v>
                </c:pt>
                <c:pt idx="57">
                  <c:v>3.8499999999999943</c:v>
                </c:pt>
                <c:pt idx="58">
                  <c:v>3.8999999999999941</c:v>
                </c:pt>
                <c:pt idx="59">
                  <c:v>3.949999999999994</c:v>
                </c:pt>
                <c:pt idx="60">
                  <c:v>3.9999999999999938</c:v>
                </c:pt>
                <c:pt idx="61">
                  <c:v>4.0499999999999936</c:v>
                </c:pt>
                <c:pt idx="62">
                  <c:v>4.0999999999999934</c:v>
                </c:pt>
                <c:pt idx="63">
                  <c:v>4.1499999999999932</c:v>
                </c:pt>
                <c:pt idx="64">
                  <c:v>4.1999999999999931</c:v>
                </c:pt>
                <c:pt idx="65">
                  <c:v>4.2499999999999929</c:v>
                </c:pt>
                <c:pt idx="66">
                  <c:v>4.2999999999999927</c:v>
                </c:pt>
                <c:pt idx="67">
                  <c:v>4.3499999999999925</c:v>
                </c:pt>
                <c:pt idx="68">
                  <c:v>4.3999999999999924</c:v>
                </c:pt>
                <c:pt idx="69">
                  <c:v>4.4499999999999922</c:v>
                </c:pt>
                <c:pt idx="70">
                  <c:v>4.499999999999992</c:v>
                </c:pt>
                <c:pt idx="71">
                  <c:v>4.5499999999999918</c:v>
                </c:pt>
                <c:pt idx="72">
                  <c:v>4.5999999999999917</c:v>
                </c:pt>
                <c:pt idx="73">
                  <c:v>4.6499999999999915</c:v>
                </c:pt>
                <c:pt idx="74">
                  <c:v>4.6999999999999913</c:v>
                </c:pt>
                <c:pt idx="75">
                  <c:v>4.7499999999999911</c:v>
                </c:pt>
                <c:pt idx="76">
                  <c:v>4.7999999999999909</c:v>
                </c:pt>
                <c:pt idx="77">
                  <c:v>4.8499999999999908</c:v>
                </c:pt>
                <c:pt idx="78">
                  <c:v>4.8999999999999906</c:v>
                </c:pt>
                <c:pt idx="79">
                  <c:v>4.9499999999999904</c:v>
                </c:pt>
                <c:pt idx="80">
                  <c:v>4.9999999999999902</c:v>
                </c:pt>
              </c:numCache>
            </c:numRef>
          </c:cat>
          <c:val>
            <c:numRef>
              <c:f>'Метод Эйлера'!$D$5:$D$85</c:f>
              <c:numCache>
                <c:formatCode>General</c:formatCode>
                <c:ptCount val="81"/>
                <c:pt idx="0">
                  <c:v>2</c:v>
                </c:pt>
                <c:pt idx="1">
                  <c:v>2.0079264507596051</c:v>
                </c:pt>
                <c:pt idx="2">
                  <c:v>2.0195264214535213</c:v>
                </c:pt>
                <c:pt idx="3">
                  <c:v>2.0347606900834987</c:v>
                </c:pt>
                <c:pt idx="4">
                  <c:v>2.0535725194578465</c:v>
                </c:pt>
                <c:pt idx="5">
                  <c:v>2.0758908490326489</c:v>
                </c:pt>
                <c:pt idx="6">
                  <c:v>2.101633249907144</c:v>
                </c:pt>
                <c:pt idx="7">
                  <c:v>2.1307085984178129</c:v>
                </c:pt>
                <c:pt idx="8">
                  <c:v>2.1630194486776091</c:v>
                </c:pt>
                <c:pt idx="9">
                  <c:v>2.1984641033551684</c:v>
                </c:pt>
                <c:pt idx="10">
                  <c:v>2.2369383954551196</c:v>
                </c:pt>
                <c:pt idx="11">
                  <c:v>2.2783372026414042</c:v>
                </c:pt>
                <c:pt idx="12">
                  <c:v>2.3225557206596692</c:v>
                </c:pt>
                <c:pt idx="13">
                  <c:v>2.3694905245666247</c:v>
                </c:pt>
                <c:pt idx="14">
                  <c:v>2.4190404465735389</c:v>
                </c:pt>
                <c:pt idx="15">
                  <c:v>2.4711072980356925</c:v>
                </c:pt>
                <c:pt idx="16">
                  <c:v>2.5255964610072037</c:v>
                </c:pt>
                <c:pt idx="17">
                  <c:v>2.5824173722374253</c:v>
                </c:pt>
                <c:pt idx="18">
                  <c:v>2.6414839198037625</c:v>
                </c:pt>
                <c:pt idx="19">
                  <c:v>2.7027147699563723</c:v>
                </c:pt>
                <c:pt idx="20">
                  <c:v>2.7660336393207237</c:v>
                </c:pt>
                <c:pt idx="21">
                  <c:v>2.8313695254385354</c:v>
                </c:pt>
                <c:pt idx="22">
                  <c:v>2.8986569067617527</c:v>
                </c:pt>
                <c:pt idx="23">
                  <c:v>2.9678359216571799</c:v>
                </c:pt>
                <c:pt idx="24">
                  <c:v>3.0388525347233633</c:v>
                </c:pt>
                <c:pt idx="25">
                  <c:v>3.1116586977485725</c:v>
                </c:pt>
                <c:pt idx="26">
                  <c:v>3.1862125119265254</c:v>
                </c:pt>
                <c:pt idx="27">
                  <c:v>3.262478397470709</c:v>
                </c:pt>
                <c:pt idx="28">
                  <c:v>3.3404272765056113</c:v>
                </c:pt>
                <c:pt idx="29">
                  <c:v>3.4200367750432199</c:v>
                </c:pt>
                <c:pt idx="30">
                  <c:v>3.5012914499584524</c:v>
                </c:pt>
                <c:pt idx="31">
                  <c:v>3.5841830471442648</c:v>
                </c:pt>
                <c:pt idx="32">
                  <c:v>3.668710797446284</c:v>
                </c:pt>
                <c:pt idx="33">
                  <c:v>3.7548817575417091</c:v>
                </c:pt>
                <c:pt idx="34">
                  <c:v>3.8427112036344786</c:v>
                </c:pt>
                <c:pt idx="35">
                  <c:v>3.9322230866866965</c:v>
                </c:pt>
                <c:pt idx="36">
                  <c:v>4.0234505588935576</c:v>
                </c:pt>
                <c:pt idx="37">
                  <c:v>4.1164365822319668</c:v>
                </c:pt>
                <c:pt idx="38">
                  <c:v>4.2112346311625206</c:v>
                </c:pt>
                <c:pt idx="39">
                  <c:v>4.3079095029208858</c:v>
                </c:pt>
                <c:pt idx="40">
                  <c:v>4.4065382502602057</c:v>
                </c:pt>
                <c:pt idx="41">
                  <c:v>4.5072112529348773</c:v>
                </c:pt>
                <c:pt idx="42">
                  <c:v>4.610033445537228</c:v>
                </c:pt>
                <c:pt idx="43">
                  <c:v>4.7151257203345924</c:v>
                </c:pt>
                <c:pt idx="44">
                  <c:v>4.8226265242268784</c:v>
                </c:pt>
                <c:pt idx="45">
                  <c:v>4.9326936684278282</c:v>
                </c:pt>
                <c:pt idx="46">
                  <c:v>5.0455063673244416</c:v>
                </c:pt>
                <c:pt idx="47">
                  <c:v>5.1612675182338696</c:v>
                </c:pt>
                <c:pt idx="48">
                  <c:v>5.2802062250546351</c:v>
                </c:pt>
                <c:pt idx="49">
                  <c:v>5.4025805540698002</c:v>
                </c:pt>
                <c:pt idx="50">
                  <c:v>5.528680486503645</c:v>
                </c:pt>
                <c:pt idx="51">
                  <c:v>5.6588309957835277</c:v>
                </c:pt>
                <c:pt idx="52">
                  <c:v>5.7933951222004625</c:v>
                </c:pt>
                <c:pt idx="53">
                  <c:v>5.9327768362755959</c:v>
                </c:pt>
                <c:pt idx="54">
                  <c:v>6.0774233649473191</c:v>
                </c:pt>
                <c:pt idx="55">
                  <c:v>6.2278264899892459</c:v>
                </c:pt>
                <c:pt idx="56">
                  <c:v>6.3845221031536967</c:v>
                </c:pt>
                <c:pt idx="57">
                  <c:v>6.5480870065975276</c:v>
                </c:pt>
                <c:pt idx="58">
                  <c:v>6.7191315775367997</c:v>
                </c:pt>
                <c:pt idx="59">
                  <c:v>6.8982864902284984</c:v>
                </c:pt>
                <c:pt idx="60">
                  <c:v>7.0861812640632982</c:v>
                </c:pt>
                <c:pt idx="61">
                  <c:v>7.2834121121722797</c:v>
                </c:pt>
                <c:pt idx="62">
                  <c:v>7.4904966368811685</c:v>
                </c:pt>
                <c:pt idx="63">
                  <c:v>7.7078137302144905</c:v>
                </c:pt>
                <c:pt idx="64">
                  <c:v>7.9355290830480927</c:v>
                </c:pt>
                <c:pt idx="65">
                  <c:v>8.1735104652130186</c:v>
                </c:pt>
                <c:pt idx="66">
                  <c:v>8.4212425413770191</c:v>
                </c:pt>
                <c:pt idx="67">
                  <c:v>8.6777576563369667</c:v>
                </c:pt>
                <c:pt idx="68">
                  <c:v>8.9416044978022811</c:v>
                </c:pt>
                <c:pt idx="69">
                  <c:v>9.2108770849545962</c:v>
                </c:pt>
                <c:pt idx="70">
                  <c:v>9.4833183190625192</c:v>
                </c:pt>
                <c:pt idx="71">
                  <c:v>9.7564944488810532</c:v>
                </c:pt>
                <c:pt idx="72">
                  <c:v>10.028014113305415</c:v>
                </c:pt>
                <c:pt idx="73">
                  <c:v>10.295748275588704</c:v>
                </c:pt>
                <c:pt idx="74">
                  <c:v>10.558005162393439</c:v>
                </c:pt>
                <c:pt idx="75">
                  <c:v>10.813629407089934</c:v>
                </c:pt>
                <c:pt idx="76">
                  <c:v>11.062019217370194</c:v>
                </c:pt>
                <c:pt idx="77">
                  <c:v>11.303077442841772</c:v>
                </c:pt>
                <c:pt idx="78">
                  <c:v>11.537123640910034</c:v>
                </c:pt>
                <c:pt idx="79">
                  <c:v>11.764793905815925</c:v>
                </c:pt>
                <c:pt idx="80">
                  <c:v>11.98694787597457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0-47E0-9FCF-F70CA2A0C2EE}"/>
            </c:ext>
          </c:extLst>
        </c:ser>
        <c:ser>
          <c:idx val="1"/>
          <c:order val="1"/>
          <c:tx>
            <c:v>Метод Рунге-Кутты 4 порядка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'Метод Адамса'!$C$5:$C$85</c:f>
              <c:numCache>
                <c:formatCode>General</c:formatCode>
                <c:ptCount val="8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1.1500000000000001</c:v>
                </c:pt>
                <c:pt idx="4">
                  <c:v>1.2000000000000002</c:v>
                </c:pt>
                <c:pt idx="5">
                  <c:v>1.2500000000000002</c:v>
                </c:pt>
                <c:pt idx="6">
                  <c:v>1.3000000000000003</c:v>
                </c:pt>
                <c:pt idx="7">
                  <c:v>1.3500000000000003</c:v>
                </c:pt>
                <c:pt idx="8">
                  <c:v>1.4000000000000004</c:v>
                </c:pt>
                <c:pt idx="9">
                  <c:v>1.4500000000000004</c:v>
                </c:pt>
                <c:pt idx="10">
                  <c:v>1.5000000000000004</c:v>
                </c:pt>
                <c:pt idx="11">
                  <c:v>1.5500000000000005</c:v>
                </c:pt>
                <c:pt idx="12">
                  <c:v>1.6000000000000005</c:v>
                </c:pt>
                <c:pt idx="13">
                  <c:v>1.6500000000000006</c:v>
                </c:pt>
                <c:pt idx="14">
                  <c:v>1.7000000000000006</c:v>
                </c:pt>
                <c:pt idx="15">
                  <c:v>1.7500000000000007</c:v>
                </c:pt>
                <c:pt idx="16">
                  <c:v>1.8000000000000007</c:v>
                </c:pt>
                <c:pt idx="17">
                  <c:v>1.8500000000000008</c:v>
                </c:pt>
                <c:pt idx="18">
                  <c:v>1.9000000000000008</c:v>
                </c:pt>
                <c:pt idx="19">
                  <c:v>1.9500000000000008</c:v>
                </c:pt>
                <c:pt idx="20">
                  <c:v>2.0000000000000009</c:v>
                </c:pt>
                <c:pt idx="21">
                  <c:v>2.0500000000000007</c:v>
                </c:pt>
                <c:pt idx="22">
                  <c:v>2.1000000000000005</c:v>
                </c:pt>
                <c:pt idx="23">
                  <c:v>2.1500000000000004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2.3499999999999996</c:v>
                </c:pt>
                <c:pt idx="28">
                  <c:v>2.3999999999999995</c:v>
                </c:pt>
                <c:pt idx="29">
                  <c:v>2.4499999999999993</c:v>
                </c:pt>
                <c:pt idx="30">
                  <c:v>2.4999999999999991</c:v>
                </c:pt>
                <c:pt idx="31">
                  <c:v>2.5499999999999989</c:v>
                </c:pt>
                <c:pt idx="32">
                  <c:v>2.5999999999999988</c:v>
                </c:pt>
                <c:pt idx="33">
                  <c:v>2.6499999999999986</c:v>
                </c:pt>
                <c:pt idx="34">
                  <c:v>2.6999999999999984</c:v>
                </c:pt>
                <c:pt idx="35">
                  <c:v>2.7499999999999982</c:v>
                </c:pt>
                <c:pt idx="36">
                  <c:v>2.799999999999998</c:v>
                </c:pt>
                <c:pt idx="37">
                  <c:v>2.8499999999999979</c:v>
                </c:pt>
                <c:pt idx="38">
                  <c:v>2.8999999999999977</c:v>
                </c:pt>
                <c:pt idx="39">
                  <c:v>2.9499999999999975</c:v>
                </c:pt>
                <c:pt idx="40">
                  <c:v>2.9999999999999973</c:v>
                </c:pt>
                <c:pt idx="41">
                  <c:v>3.0499999999999972</c:v>
                </c:pt>
                <c:pt idx="42">
                  <c:v>3.099999999999997</c:v>
                </c:pt>
                <c:pt idx="43">
                  <c:v>3.1499999999999968</c:v>
                </c:pt>
                <c:pt idx="44">
                  <c:v>3.1999999999999966</c:v>
                </c:pt>
                <c:pt idx="45">
                  <c:v>3.2499999999999964</c:v>
                </c:pt>
                <c:pt idx="46">
                  <c:v>3.2999999999999963</c:v>
                </c:pt>
                <c:pt idx="47">
                  <c:v>3.3499999999999961</c:v>
                </c:pt>
                <c:pt idx="48">
                  <c:v>3.3999999999999959</c:v>
                </c:pt>
                <c:pt idx="49">
                  <c:v>3.4499999999999957</c:v>
                </c:pt>
                <c:pt idx="50">
                  <c:v>3.4999999999999956</c:v>
                </c:pt>
                <c:pt idx="51">
                  <c:v>3.5499999999999954</c:v>
                </c:pt>
                <c:pt idx="52">
                  <c:v>3.5999999999999952</c:v>
                </c:pt>
                <c:pt idx="53">
                  <c:v>3.649999999999995</c:v>
                </c:pt>
                <c:pt idx="54">
                  <c:v>3.6999999999999948</c:v>
                </c:pt>
                <c:pt idx="55">
                  <c:v>3.7499999999999947</c:v>
                </c:pt>
                <c:pt idx="56">
                  <c:v>3.7999999999999945</c:v>
                </c:pt>
                <c:pt idx="57">
                  <c:v>3.8499999999999943</c:v>
                </c:pt>
                <c:pt idx="58">
                  <c:v>3.8999999999999941</c:v>
                </c:pt>
                <c:pt idx="59">
                  <c:v>3.949999999999994</c:v>
                </c:pt>
                <c:pt idx="60">
                  <c:v>3.9999999999999938</c:v>
                </c:pt>
                <c:pt idx="61">
                  <c:v>4.0499999999999936</c:v>
                </c:pt>
                <c:pt idx="62">
                  <c:v>4.0999999999999934</c:v>
                </c:pt>
                <c:pt idx="63">
                  <c:v>4.1499999999999932</c:v>
                </c:pt>
                <c:pt idx="64">
                  <c:v>4.1999999999999931</c:v>
                </c:pt>
                <c:pt idx="65">
                  <c:v>4.2499999999999929</c:v>
                </c:pt>
                <c:pt idx="66">
                  <c:v>4.2999999999999927</c:v>
                </c:pt>
                <c:pt idx="67">
                  <c:v>4.3499999999999925</c:v>
                </c:pt>
                <c:pt idx="68">
                  <c:v>4.3999999999999924</c:v>
                </c:pt>
                <c:pt idx="69">
                  <c:v>4.4499999999999922</c:v>
                </c:pt>
                <c:pt idx="70">
                  <c:v>4.499999999999992</c:v>
                </c:pt>
                <c:pt idx="71">
                  <c:v>4.5499999999999918</c:v>
                </c:pt>
                <c:pt idx="72">
                  <c:v>4.5999999999999917</c:v>
                </c:pt>
                <c:pt idx="73">
                  <c:v>4.6499999999999915</c:v>
                </c:pt>
                <c:pt idx="74">
                  <c:v>4.6999999999999913</c:v>
                </c:pt>
                <c:pt idx="75">
                  <c:v>4.7499999999999911</c:v>
                </c:pt>
                <c:pt idx="76">
                  <c:v>4.7999999999999909</c:v>
                </c:pt>
                <c:pt idx="77">
                  <c:v>4.8499999999999908</c:v>
                </c:pt>
                <c:pt idx="78">
                  <c:v>4.8999999999999906</c:v>
                </c:pt>
                <c:pt idx="79">
                  <c:v>4.9499999999999904</c:v>
                </c:pt>
                <c:pt idx="80">
                  <c:v>4.9999999999999902</c:v>
                </c:pt>
              </c:numCache>
            </c:numRef>
          </c:cat>
          <c:val>
            <c:numRef>
              <c:f>'Метод Рунге-Кутты'!$D$5:$D$85</c:f>
              <c:numCache>
                <c:formatCode>General</c:formatCode>
                <c:ptCount val="81"/>
                <c:pt idx="0">
                  <c:v>2</c:v>
                </c:pt>
                <c:pt idx="1">
                  <c:v>2.009739971692512</c:v>
                </c:pt>
                <c:pt idx="2">
                  <c:v>2.0230815530554382</c:v>
                </c:pt>
                <c:pt idx="3">
                  <c:v>2.0399740049872381</c:v>
                </c:pt>
                <c:pt idx="4">
                  <c:v>2.060352222895907</c:v>
                </c:pt>
                <c:pt idx="5">
                  <c:v>2.084139596647312</c:v>
                </c:pt>
                <c:pt idx="6">
                  <c:v>2.1112506036698355</c:v>
                </c:pt>
                <c:pt idx="7">
                  <c:v>2.1415931169038247</c:v>
                </c:pt>
                <c:pt idx="8">
                  <c:v>2.1750704267384462</c:v>
                </c:pt>
                <c:pt idx="9">
                  <c:v>2.2115829885097735</c:v>
                </c:pt>
                <c:pt idx="10">
                  <c:v>2.2510299152948181</c:v>
                </c:pt>
                <c:pt idx="11">
                  <c:v>2.2933102404679899</c:v>
                </c:pt>
                <c:pt idx="12">
                  <c:v>2.3383239766060733</c:v>
                </c:pt>
                <c:pt idx="13">
                  <c:v>2.3859729975629609</c:v>
                </c:pt>
                <c:pt idx="14">
                  <c:v>2.43616176949496</c:v>
                </c:pt>
                <c:pt idx="15">
                  <c:v>2.4887979547859129</c:v>
                </c:pt>
                <c:pt idx="16">
                  <c:v>2.5437929105670261</c:v>
                </c:pt>
                <c:pt idx="17">
                  <c:v>2.601062101117253</c:v>
                </c:pt>
                <c:pt idx="18">
                  <c:v>2.6605254410522492</c:v>
                </c:pt>
                <c:pt idx="19">
                  <c:v>2.7221075839848385</c:v>
                </c:pt>
                <c:pt idx="20">
                  <c:v>2.7857381693407186</c:v>
                </c:pt>
                <c:pt idx="21">
                  <c:v>2.8513520382777586</c:v>
                </c:pt>
                <c:pt idx="22">
                  <c:v>2.918889428199404</c:v>
                </c:pt>
                <c:pt idx="23">
                  <c:v>2.988296154170071</c:v>
                </c:pt>
                <c:pt idx="24">
                  <c:v>3.0595237846210632</c:v>
                </c:pt>
                <c:pt idx="25">
                  <c:v>3.1325298180624435</c:v>
                </c:pt>
                <c:pt idx="26">
                  <c:v>3.2072778670707751</c:v>
                </c:pt>
                <c:pt idx="27">
                  <c:v>3.283737855586542</c:v>
                </c:pt>
                <c:pt idx="28">
                  <c:v>3.3618862355123458</c:v>
                </c:pt>
                <c:pt idx="29">
                  <c:v>3.4417062287407076</c:v>
                </c:pt>
                <c:pt idx="30">
                  <c:v>3.5231881010491044</c:v>
                </c:pt>
                <c:pt idx="31">
                  <c:v>3.6063294747741352</c:v>
                </c:pt>
                <c:pt idx="32">
                  <c:v>3.691135687814517</c:v>
                </c:pt>
                <c:pt idx="33">
                  <c:v>3.777620207315123</c:v>
                </c:pt>
                <c:pt idx="34">
                  <c:v>3.8658051073550808</c:v>
                </c:pt>
                <c:pt idx="35">
                  <c:v>3.9557216211064326</c:v>
                </c:pt>
                <c:pt idx="36">
                  <c:v>4.0474107792492298</c:v>
                </c:pt>
                <c:pt idx="37">
                  <c:v>4.1409241479226235</c:v>
                </c:pt>
                <c:pt idx="38">
                  <c:v>4.2363246811481989</c:v>
                </c:pt>
                <c:pt idx="39">
                  <c:v>4.3336877044524602</c:v>
                </c:pt>
                <c:pt idx="40">
                  <c:v>4.4331020482814587</c:v>
                </c:pt>
                <c:pt idx="41">
                  <c:v>4.5346713516363364</c:v>
                </c:pt>
                <c:pt idx="42">
                  <c:v>4.6385155579844586</c:v>
                </c:pt>
                <c:pt idx="43">
                  <c:v>4.7447726266241359</c:v>
                </c:pt>
                <c:pt idx="44">
                  <c:v>4.8536004828378454</c:v>
                </c:pt>
                <c:pt idx="45">
                  <c:v>4.9651792286396095</c:v>
                </c:pt>
                <c:pt idx="46">
                  <c:v>5.0797136316087173</c:v>
                </c:pt>
                <c:pt idx="47">
                  <c:v>5.1974359005535904</c:v>
                </c:pt>
                <c:pt idx="48">
                  <c:v>5.3186087411197969</c:v>
                </c:pt>
                <c:pt idx="49">
                  <c:v>5.4435286583730074</c:v>
                </c:pt>
                <c:pt idx="50">
                  <c:v>5.57252943172639</c:v>
                </c:pt>
                <c:pt idx="51">
                  <c:v>5.7059856231508865</c:v>
                </c:pt>
                <c:pt idx="52">
                  <c:v>5.8443158826120261</c:v>
                </c:pt>
                <c:pt idx="53">
                  <c:v>5.9879856723490219</c:v>
                </c:pt>
                <c:pt idx="54">
                  <c:v>6.137508828413468</c:v>
                </c:pt>
                <c:pt idx="55">
                  <c:v>6.2934470971354193</c:v>
                </c:pt>
                <c:pt idx="56">
                  <c:v>6.4564064126315808</c:v>
                </c:pt>
                <c:pt idx="57">
                  <c:v>6.627028219310569</c:v>
                </c:pt>
                <c:pt idx="58">
                  <c:v>6.8059736232037613</c:v>
                </c:pt>
                <c:pt idx="59">
                  <c:v>6.9938976745436561</c:v>
                </c:pt>
                <c:pt idx="60">
                  <c:v>7.1914108467138051</c:v>
                </c:pt>
                <c:pt idx="61">
                  <c:v>7.3990251446523594</c:v>
                </c:pt>
                <c:pt idx="62">
                  <c:v>7.6170837797837292</c:v>
                </c:pt>
                <c:pt idx="63">
                  <c:v>7.8456765945565774</c:v>
                </c:pt>
                <c:pt idx="64">
                  <c:v>8.0845487786998227</c:v>
                </c:pt>
                <c:pt idx="65">
                  <c:v>8.3330174384341049</c:v>
                </c:pt>
                <c:pt idx="66">
                  <c:v>8.5899172818279599</c:v>
                </c:pt>
                <c:pt idx="67">
                  <c:v>8.853599362173469</c:v>
                </c:pt>
                <c:pt idx="68">
                  <c:v>9.1220012521244485</c:v>
                </c:pt>
                <c:pt idx="69">
                  <c:v>9.3927914105028645</c:v>
                </c:pt>
                <c:pt idx="70">
                  <c:v>9.663568597879868</c:v>
                </c:pt>
                <c:pt idx="71">
                  <c:v>9.9320782621064563</c:v>
                </c:pt>
                <c:pt idx="72">
                  <c:v>10.196401649822526</c:v>
                </c:pt>
                <c:pt idx="73">
                  <c:v>10.455083449448002</c:v>
                </c:pt>
                <c:pt idx="74">
                  <c:v>10.707184487968837</c:v>
                </c:pt>
                <c:pt idx="75">
                  <c:v>10.952267048032571</c:v>
                </c:pt>
                <c:pt idx="76">
                  <c:v>11.19033357755271</c:v>
                </c:pt>
                <c:pt idx="77">
                  <c:v>11.421742752419984</c:v>
                </c:pt>
                <c:pt idx="78">
                  <c:v>11.64712276219826</c:v>
                </c:pt>
                <c:pt idx="79">
                  <c:v>11.867294629524562</c:v>
                </c:pt>
                <c:pt idx="80">
                  <c:v>12.083211659051008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70-47E0-9FCF-F70CA2A0C2EE}"/>
            </c:ext>
          </c:extLst>
        </c:ser>
        <c:ser>
          <c:idx val="2"/>
          <c:order val="2"/>
          <c:tx>
            <c:v>Метод Адамса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'Метод Адамса'!$C$5:$C$85</c:f>
              <c:numCache>
                <c:formatCode>General</c:formatCode>
                <c:ptCount val="8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1.1500000000000001</c:v>
                </c:pt>
                <c:pt idx="4">
                  <c:v>1.2000000000000002</c:v>
                </c:pt>
                <c:pt idx="5">
                  <c:v>1.2500000000000002</c:v>
                </c:pt>
                <c:pt idx="6">
                  <c:v>1.3000000000000003</c:v>
                </c:pt>
                <c:pt idx="7">
                  <c:v>1.3500000000000003</c:v>
                </c:pt>
                <c:pt idx="8">
                  <c:v>1.4000000000000004</c:v>
                </c:pt>
                <c:pt idx="9">
                  <c:v>1.4500000000000004</c:v>
                </c:pt>
                <c:pt idx="10">
                  <c:v>1.5000000000000004</c:v>
                </c:pt>
                <c:pt idx="11">
                  <c:v>1.5500000000000005</c:v>
                </c:pt>
                <c:pt idx="12">
                  <c:v>1.6000000000000005</c:v>
                </c:pt>
                <c:pt idx="13">
                  <c:v>1.6500000000000006</c:v>
                </c:pt>
                <c:pt idx="14">
                  <c:v>1.7000000000000006</c:v>
                </c:pt>
                <c:pt idx="15">
                  <c:v>1.7500000000000007</c:v>
                </c:pt>
                <c:pt idx="16">
                  <c:v>1.8000000000000007</c:v>
                </c:pt>
                <c:pt idx="17">
                  <c:v>1.8500000000000008</c:v>
                </c:pt>
                <c:pt idx="18">
                  <c:v>1.9000000000000008</c:v>
                </c:pt>
                <c:pt idx="19">
                  <c:v>1.9500000000000008</c:v>
                </c:pt>
                <c:pt idx="20">
                  <c:v>2.0000000000000009</c:v>
                </c:pt>
                <c:pt idx="21">
                  <c:v>2.0500000000000007</c:v>
                </c:pt>
                <c:pt idx="22">
                  <c:v>2.1000000000000005</c:v>
                </c:pt>
                <c:pt idx="23">
                  <c:v>2.1500000000000004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2.3499999999999996</c:v>
                </c:pt>
                <c:pt idx="28">
                  <c:v>2.3999999999999995</c:v>
                </c:pt>
                <c:pt idx="29">
                  <c:v>2.4499999999999993</c:v>
                </c:pt>
                <c:pt idx="30">
                  <c:v>2.4999999999999991</c:v>
                </c:pt>
                <c:pt idx="31">
                  <c:v>2.5499999999999989</c:v>
                </c:pt>
                <c:pt idx="32">
                  <c:v>2.5999999999999988</c:v>
                </c:pt>
                <c:pt idx="33">
                  <c:v>2.6499999999999986</c:v>
                </c:pt>
                <c:pt idx="34">
                  <c:v>2.6999999999999984</c:v>
                </c:pt>
                <c:pt idx="35">
                  <c:v>2.7499999999999982</c:v>
                </c:pt>
                <c:pt idx="36">
                  <c:v>2.799999999999998</c:v>
                </c:pt>
                <c:pt idx="37">
                  <c:v>2.8499999999999979</c:v>
                </c:pt>
                <c:pt idx="38">
                  <c:v>2.8999999999999977</c:v>
                </c:pt>
                <c:pt idx="39">
                  <c:v>2.9499999999999975</c:v>
                </c:pt>
                <c:pt idx="40">
                  <c:v>2.9999999999999973</c:v>
                </c:pt>
                <c:pt idx="41">
                  <c:v>3.0499999999999972</c:v>
                </c:pt>
                <c:pt idx="42">
                  <c:v>3.099999999999997</c:v>
                </c:pt>
                <c:pt idx="43">
                  <c:v>3.1499999999999968</c:v>
                </c:pt>
                <c:pt idx="44">
                  <c:v>3.1999999999999966</c:v>
                </c:pt>
                <c:pt idx="45">
                  <c:v>3.2499999999999964</c:v>
                </c:pt>
                <c:pt idx="46">
                  <c:v>3.2999999999999963</c:v>
                </c:pt>
                <c:pt idx="47">
                  <c:v>3.3499999999999961</c:v>
                </c:pt>
                <c:pt idx="48">
                  <c:v>3.3999999999999959</c:v>
                </c:pt>
                <c:pt idx="49">
                  <c:v>3.4499999999999957</c:v>
                </c:pt>
                <c:pt idx="50">
                  <c:v>3.4999999999999956</c:v>
                </c:pt>
                <c:pt idx="51">
                  <c:v>3.5499999999999954</c:v>
                </c:pt>
                <c:pt idx="52">
                  <c:v>3.5999999999999952</c:v>
                </c:pt>
                <c:pt idx="53">
                  <c:v>3.649999999999995</c:v>
                </c:pt>
                <c:pt idx="54">
                  <c:v>3.6999999999999948</c:v>
                </c:pt>
                <c:pt idx="55">
                  <c:v>3.7499999999999947</c:v>
                </c:pt>
                <c:pt idx="56">
                  <c:v>3.7999999999999945</c:v>
                </c:pt>
                <c:pt idx="57">
                  <c:v>3.8499999999999943</c:v>
                </c:pt>
                <c:pt idx="58">
                  <c:v>3.8999999999999941</c:v>
                </c:pt>
                <c:pt idx="59">
                  <c:v>3.949999999999994</c:v>
                </c:pt>
                <c:pt idx="60">
                  <c:v>3.9999999999999938</c:v>
                </c:pt>
                <c:pt idx="61">
                  <c:v>4.0499999999999936</c:v>
                </c:pt>
                <c:pt idx="62">
                  <c:v>4.0999999999999934</c:v>
                </c:pt>
                <c:pt idx="63">
                  <c:v>4.1499999999999932</c:v>
                </c:pt>
                <c:pt idx="64">
                  <c:v>4.1999999999999931</c:v>
                </c:pt>
                <c:pt idx="65">
                  <c:v>4.2499999999999929</c:v>
                </c:pt>
                <c:pt idx="66">
                  <c:v>4.2999999999999927</c:v>
                </c:pt>
                <c:pt idx="67">
                  <c:v>4.3499999999999925</c:v>
                </c:pt>
                <c:pt idx="68">
                  <c:v>4.3999999999999924</c:v>
                </c:pt>
                <c:pt idx="69">
                  <c:v>4.4499999999999922</c:v>
                </c:pt>
                <c:pt idx="70">
                  <c:v>4.499999999999992</c:v>
                </c:pt>
                <c:pt idx="71">
                  <c:v>4.5499999999999918</c:v>
                </c:pt>
                <c:pt idx="72">
                  <c:v>4.5999999999999917</c:v>
                </c:pt>
                <c:pt idx="73">
                  <c:v>4.6499999999999915</c:v>
                </c:pt>
                <c:pt idx="74">
                  <c:v>4.6999999999999913</c:v>
                </c:pt>
                <c:pt idx="75">
                  <c:v>4.7499999999999911</c:v>
                </c:pt>
                <c:pt idx="76">
                  <c:v>4.7999999999999909</c:v>
                </c:pt>
                <c:pt idx="77">
                  <c:v>4.8499999999999908</c:v>
                </c:pt>
                <c:pt idx="78">
                  <c:v>4.8999999999999906</c:v>
                </c:pt>
                <c:pt idx="79">
                  <c:v>4.9499999999999904</c:v>
                </c:pt>
                <c:pt idx="80">
                  <c:v>4.9999999999999902</c:v>
                </c:pt>
              </c:numCache>
            </c:numRef>
          </c:cat>
          <c:val>
            <c:numRef>
              <c:f>'Метод Адамса'!$D$5:$D$85</c:f>
              <c:numCache>
                <c:formatCode>General</c:formatCode>
                <c:ptCount val="81"/>
                <c:pt idx="0">
                  <c:v>2</c:v>
                </c:pt>
                <c:pt idx="1">
                  <c:v>2.009739971692512</c:v>
                </c:pt>
                <c:pt idx="2">
                  <c:v>2.0230815530554382</c:v>
                </c:pt>
                <c:pt idx="3">
                  <c:v>2.0399740049872381</c:v>
                </c:pt>
                <c:pt idx="4">
                  <c:v>2.0603511741462568</c:v>
                </c:pt>
                <c:pt idx="5">
                  <c:v>2.0841376644656182</c:v>
                </c:pt>
                <c:pt idx="6">
                  <c:v>2.1112478717639807</c:v>
                </c:pt>
                <c:pt idx="7">
                  <c:v>2.1415897300663502</c:v>
                </c:pt>
                <c:pt idx="8">
                  <c:v>2.1750665037676051</c:v>
                </c:pt>
                <c:pt idx="9">
                  <c:v>2.2115786431821127</c:v>
                </c:pt>
                <c:pt idx="10">
                  <c:v>2.2510252478626405</c:v>
                </c:pt>
                <c:pt idx="11">
                  <c:v>2.2933053390525657</c:v>
                </c:pt>
                <c:pt idx="12">
                  <c:v>2.3383189164164775</c:v>
                </c:pt>
                <c:pt idx="13">
                  <c:v>2.3859678416478873</c:v>
                </c:pt>
                <c:pt idx="14">
                  <c:v>2.4361565695807839</c:v>
                </c:pt>
                <c:pt idx="15">
                  <c:v>2.4887927524166509</c:v>
                </c:pt>
                <c:pt idx="16">
                  <c:v>2.5437877382906366</c:v>
                </c:pt>
                <c:pt idx="17">
                  <c:v>2.6010569836694808</c:v>
                </c:pt>
                <c:pt idx="18">
                  <c:v>2.6605203964664055</c:v>
                </c:pt>
                <c:pt idx="19">
                  <c:v>2.7221026245966953</c:v>
                </c:pt>
                <c:pt idx="20">
                  <c:v>2.7857333026690765</c:v>
                </c:pt>
                <c:pt idx="21">
                  <c:v>2.8513472677748886</c:v>
                </c:pt>
                <c:pt idx="22">
                  <c:v>2.9188847538727472</c:v>
                </c:pt>
                <c:pt idx="23">
                  <c:v>2.9882915730814688</c:v>
                </c:pt>
                <c:pt idx="24">
                  <c:v>3.0595192912721605</c:v>
                </c:pt>
                <c:pt idx="25">
                  <c:v>3.1325254046757434</c:v>
                </c:pt>
                <c:pt idx="26">
                  <c:v>3.207273523775501</c:v>
                </c:pt>
                <c:pt idx="27">
                  <c:v>3.2837335705173767</c:v>
                </c:pt>
                <c:pt idx="28">
                  <c:v>3.3618819948275429</c:v>
                </c:pt>
                <c:pt idx="29">
                  <c:v>3.4417020165641752</c:v>
                </c:pt>
                <c:pt idx="30">
                  <c:v>3.5231838993389886</c:v>
                </c:pt>
                <c:pt idx="31">
                  <c:v>3.6063252631182916</c:v>
                </c:pt>
                <c:pt idx="32">
                  <c:v>3.6911314431511157</c:v>
                </c:pt>
                <c:pt idx="33">
                  <c:v>3.7776159035745915</c:v>
                </c:pt>
                <c:pt idx="34">
                  <c:v>3.8658007150177514</c:v>
                </c:pt>
                <c:pt idx="35">
                  <c:v>3.9557171066688133</c:v>
                </c:pt>
                <c:pt idx="36">
                  <c:v>4.0474061045910146</c:v>
                </c:pt>
                <c:pt idx="37">
                  <c:v>4.1409192695668597</c:v>
                </c:pt>
                <c:pt idx="38">
                  <c:v>4.236319549409127</c:v>
                </c:pt>
                <c:pt idx="39">
                  <c:v>4.3336822624705134</c:v>
                </c:pt>
                <c:pt idx="40">
                  <c:v>4.4330962309544928</c:v>
                </c:pt>
                <c:pt idx="41">
                  <c:v>4.5346650844729357</c:v>
                </c:pt>
                <c:pt idx="42">
                  <c:v>4.6385087559331151</c:v>
                </c:pt>
                <c:pt idx="43">
                  <c:v>4.7447651929772192</c:v>
                </c:pt>
                <c:pt idx="44">
                  <c:v>4.8535923083804526</c:v>
                </c:pt>
                <c:pt idx="45">
                  <c:v>4.9651701913236757</c:v>
                </c:pt>
                <c:pt idx="46">
                  <c:v>5.0797035972010347</c:v>
                </c:pt>
                <c:pt idx="47">
                  <c:v>5.1974247249591139</c:v>
                </c:pt>
                <c:pt idx="48">
                  <c:v>5.318596275454861</c:v>
                </c:pt>
                <c:pt idx="49">
                  <c:v>5.4435147584031087</c:v>
                </c:pt>
                <c:pt idx="50">
                  <c:v>5.5725139740439351</c:v>
                </c:pt>
                <c:pt idx="51">
                  <c:v>5.7059685315004387</c:v>
                </c:pt>
                <c:pt idx="52">
                  <c:v>5.8442971690928385</c:v>
                </c:pt>
                <c:pt idx="53">
                  <c:v>5.9879654997603753</c:v>
                </c:pt>
                <c:pt idx="54">
                  <c:v>6.1374876014585293</c:v>
                </c:pt>
                <c:pt idx="55">
                  <c:v>6.2934255908126762</c:v>
                </c:pt>
                <c:pt idx="56">
                  <c:v>6.4563859443413385</c:v>
                </c:pt>
                <c:pt idx="57">
                  <c:v>6.6270108640693977</c:v>
                </c:pt>
                <c:pt idx="58">
                  <c:v>6.8059624541579717</c:v>
                </c:pt>
                <c:pt idx="59">
                  <c:v>6.9938969773300599</c:v>
                </c:pt>
                <c:pt idx="60">
                  <c:v>7.1914262004193326</c:v>
                </c:pt>
                <c:pt idx="61">
                  <c:v>7.3990631861489735</c:v>
                </c:pt>
                <c:pt idx="62">
                  <c:v>7.6171513962022352</c:v>
                </c:pt>
                <c:pt idx="63">
                  <c:v>7.8457792868805774</c:v>
                </c:pt>
                <c:pt idx="64">
                  <c:v>8.0846881241940771</c:v>
                </c:pt>
                <c:pt idx="65">
                  <c:v>8.3331880691096778</c:v>
                </c:pt>
                <c:pt idx="66">
                  <c:v>8.5901045563573</c:v>
                </c:pt>
                <c:pt idx="67">
                  <c:v>8.8537795348303181</c:v>
                </c:pt>
                <c:pt idx="68">
                  <c:v>9.1221456486622312</c:v>
                </c:pt>
                <c:pt idx="69">
                  <c:v>9.3928743287102527</c:v>
                </c:pt>
                <c:pt idx="70">
                  <c:v>9.6635760090963991</c:v>
                </c:pt>
                <c:pt idx="71">
                  <c:v>9.9320129599551432</c:v>
                </c:pt>
                <c:pt idx="72">
                  <c:v>10.196281999673044</c:v>
                </c:pt>
                <c:pt idx="73">
                  <c:v>10.454936548474988</c:v>
                </c:pt>
                <c:pt idx="74">
                  <c:v>10.707037478208186</c:v>
                </c:pt>
                <c:pt idx="75">
                  <c:v>10.952140493028072</c:v>
                </c:pt>
                <c:pt idx="76">
                  <c:v>11.190238759755541</c:v>
                </c:pt>
                <c:pt idx="77">
                  <c:v>11.421682440199046</c:v>
                </c:pt>
                <c:pt idx="78">
                  <c:v>11.647093817881935</c:v>
                </c:pt>
                <c:pt idx="79">
                  <c:v>11.867290885761694</c:v>
                </c:pt>
                <c:pt idx="80">
                  <c:v>12.083226153916728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70-47E0-9FCF-F70CA2A0C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491168"/>
        <c:axId val="73488672"/>
      </c:lineChart>
      <c:catAx>
        <c:axId val="7349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488672"/>
        <c:crosses val="autoZero"/>
        <c:auto val="1"/>
        <c:lblAlgn val="ctr"/>
        <c:lblOffset val="100"/>
        <c:noMultiLvlLbl val="0"/>
      </c:catAx>
      <c:valAx>
        <c:axId val="734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49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19455870247068"/>
          <c:y val="4.7556033573523657E-2"/>
          <c:w val="0.21110751963126453"/>
          <c:h val="0.230227650809973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3</xdr:row>
      <xdr:rowOff>185737</xdr:rowOff>
    </xdr:from>
    <xdr:to>
      <xdr:col>13</xdr:col>
      <xdr:colOff>19050</xdr:colOff>
      <xdr:row>18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9940F41-6AA2-4C37-BB8E-5DAAFF821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85725</xdr:colOff>
      <xdr:row>3</xdr:row>
      <xdr:rowOff>33337</xdr:rowOff>
    </xdr:from>
    <xdr:to>
      <xdr:col>24</xdr:col>
      <xdr:colOff>390525</xdr:colOff>
      <xdr:row>17</xdr:row>
      <xdr:rowOff>109537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462835-32E5-4EF7-B7C7-791AE662A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8</xdr:row>
      <xdr:rowOff>185737</xdr:rowOff>
    </xdr:from>
    <xdr:to>
      <xdr:col>12</xdr:col>
      <xdr:colOff>352425</xdr:colOff>
      <xdr:row>23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F4C94EF-4184-4E07-94D2-5355CA382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28573</xdr:colOff>
      <xdr:row>0</xdr:row>
      <xdr:rowOff>180975</xdr:rowOff>
    </xdr:from>
    <xdr:to>
      <xdr:col>13</xdr:col>
      <xdr:colOff>400050</xdr:colOff>
      <xdr:row>25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F47893-4B57-4E03-A3EB-11201FB7A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D4568-78A2-4083-9463-437DC59A0A64}" name="Таблица1" displayName="Таблица1" ref="B4:E85" totalsRowShown="0">
  <autoFilter ref="B4:E85" xr:uid="{BFED4568-78A2-4083-9463-437DC59A0A64}"/>
  <tableColumns count="4">
    <tableColumn id="1" xr3:uid="{DE9917BE-3575-4351-87F1-05474758DAB5}" name="i"/>
    <tableColumn id="2" xr3:uid="{239C9047-A3D2-447B-BC1A-46A88705D763}" name="x">
      <calculatedColumnFormula>C4+$D$2</calculatedColumnFormula>
    </tableColumn>
    <tableColumn id="3" xr3:uid="{664D2D0D-DB73-42F9-BC00-EE1381CC253A}" name="yi">
      <calculatedColumnFormula>D4 + $D$2 * E4</calculatedColumnFormula>
    </tableColumn>
    <tableColumn id="4" xr3:uid="{0083C7FE-51FE-4834-A21F-F239C9817101}" name="f(x,y)">
      <calculatedColumnFormula>SIN(C5-D5) + C5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85"/>
  <sheetViews>
    <sheetView topLeftCell="A50" workbookViewId="0">
      <selection activeCell="B1" sqref="B1:E2"/>
    </sheetView>
  </sheetViews>
  <sheetFormatPr defaultRowHeight="15" x14ac:dyDescent="0.25"/>
  <cols>
    <col min="2" max="2" width="14.42578125" customWidth="1"/>
  </cols>
  <sheetData>
    <row r="1" spans="2:5" x14ac:dyDescent="0.25">
      <c r="B1" t="s">
        <v>2</v>
      </c>
      <c r="C1" t="s">
        <v>3</v>
      </c>
      <c r="D1" t="s">
        <v>4</v>
      </c>
      <c r="E1" t="s">
        <v>5</v>
      </c>
    </row>
    <row r="2" spans="2:5" x14ac:dyDescent="0.25">
      <c r="B2" t="s">
        <v>0</v>
      </c>
      <c r="C2" t="s">
        <v>1</v>
      </c>
      <c r="D2">
        <v>0.05</v>
      </c>
      <c r="E2">
        <v>2</v>
      </c>
    </row>
    <row r="4" spans="2:5" x14ac:dyDescent="0.25">
      <c r="B4" t="s">
        <v>6</v>
      </c>
      <c r="C4" t="s">
        <v>8</v>
      </c>
      <c r="D4" t="s">
        <v>7</v>
      </c>
      <c r="E4" t="s">
        <v>9</v>
      </c>
    </row>
    <row r="5" spans="2:5" x14ac:dyDescent="0.25">
      <c r="B5">
        <v>0</v>
      </c>
      <c r="C5">
        <v>1</v>
      </c>
      <c r="D5">
        <f>E2</f>
        <v>2</v>
      </c>
      <c r="E5">
        <f>SIN(C5-D5) + C5</f>
        <v>0.1585290151921035</v>
      </c>
    </row>
    <row r="6" spans="2:5" x14ac:dyDescent="0.25">
      <c r="B6">
        <v>1</v>
      </c>
      <c r="C6">
        <f>C5+$D$2</f>
        <v>1.05</v>
      </c>
      <c r="D6">
        <f>D5 + $D$2 * E5</f>
        <v>2.0079264507596051</v>
      </c>
      <c r="E6">
        <f>SIN(C6-D6) + C6</f>
        <v>0.23199941387832146</v>
      </c>
    </row>
    <row r="7" spans="2:5" x14ac:dyDescent="0.25">
      <c r="B7">
        <v>2</v>
      </c>
      <c r="C7">
        <f t="shared" ref="C7:C70" si="0">C6+$D$2</f>
        <v>1.1000000000000001</v>
      </c>
      <c r="D7">
        <f t="shared" ref="D7:D70" si="1">D6 + $D$2 * E6</f>
        <v>2.0195264214535213</v>
      </c>
      <c r="E7">
        <f t="shared" ref="E7:E70" si="2">SIN(C7-D7) + C7</f>
        <v>0.30468537259954775</v>
      </c>
    </row>
    <row r="8" spans="2:5" x14ac:dyDescent="0.25">
      <c r="B8">
        <v>3</v>
      </c>
      <c r="C8">
        <f t="shared" si="0"/>
        <v>1.1500000000000001</v>
      </c>
      <c r="D8">
        <f t="shared" si="1"/>
        <v>2.0347606900834987</v>
      </c>
      <c r="E8">
        <f t="shared" si="2"/>
        <v>0.37623658748695432</v>
      </c>
    </row>
    <row r="9" spans="2:5" x14ac:dyDescent="0.25">
      <c r="B9">
        <v>4</v>
      </c>
      <c r="C9">
        <f t="shared" si="0"/>
        <v>1.2000000000000002</v>
      </c>
      <c r="D9">
        <f t="shared" si="1"/>
        <v>2.0535725194578465</v>
      </c>
      <c r="E9">
        <f t="shared" si="2"/>
        <v>0.44636659149604563</v>
      </c>
    </row>
    <row r="10" spans="2:5" x14ac:dyDescent="0.25">
      <c r="B10">
        <v>5</v>
      </c>
      <c r="C10">
        <f t="shared" si="0"/>
        <v>1.2500000000000002</v>
      </c>
      <c r="D10">
        <f t="shared" si="1"/>
        <v>2.0758908490326489</v>
      </c>
      <c r="E10">
        <f t="shared" si="2"/>
        <v>0.51484801748990161</v>
      </c>
    </row>
    <row r="11" spans="2:5" x14ac:dyDescent="0.25">
      <c r="B11">
        <v>6</v>
      </c>
      <c r="C11">
        <f t="shared" si="0"/>
        <v>1.3000000000000003</v>
      </c>
      <c r="D11">
        <f t="shared" si="1"/>
        <v>2.101633249907144</v>
      </c>
      <c r="E11">
        <f t="shared" si="2"/>
        <v>0.58150697021338038</v>
      </c>
    </row>
    <row r="12" spans="2:5" x14ac:dyDescent="0.25">
      <c r="B12">
        <v>7</v>
      </c>
      <c r="C12">
        <f t="shared" si="0"/>
        <v>1.3500000000000003</v>
      </c>
      <c r="D12">
        <f t="shared" si="1"/>
        <v>2.1307085984178129</v>
      </c>
      <c r="E12">
        <f t="shared" si="2"/>
        <v>0.64621700519592096</v>
      </c>
    </row>
    <row r="13" spans="2:5" x14ac:dyDescent="0.25">
      <c r="B13">
        <v>8</v>
      </c>
      <c r="C13">
        <f t="shared" si="0"/>
        <v>1.4000000000000004</v>
      </c>
      <c r="D13">
        <f t="shared" si="1"/>
        <v>2.1630194486776091</v>
      </c>
      <c r="E13">
        <f t="shared" si="2"/>
        <v>0.70889309355118668</v>
      </c>
    </row>
    <row r="14" spans="2:5" x14ac:dyDescent="0.25">
      <c r="B14">
        <v>9</v>
      </c>
      <c r="C14">
        <f t="shared" si="0"/>
        <v>1.4500000000000004</v>
      </c>
      <c r="D14">
        <f t="shared" si="1"/>
        <v>2.1984641033551684</v>
      </c>
      <c r="E14">
        <f t="shared" si="2"/>
        <v>0.76948584199902748</v>
      </c>
    </row>
    <row r="15" spans="2:5" x14ac:dyDescent="0.25">
      <c r="B15">
        <v>10</v>
      </c>
      <c r="C15">
        <f t="shared" si="0"/>
        <v>1.5000000000000004</v>
      </c>
      <c r="D15">
        <f t="shared" si="1"/>
        <v>2.2369383954551196</v>
      </c>
      <c r="E15">
        <f t="shared" si="2"/>
        <v>0.82797614372569073</v>
      </c>
    </row>
    <row r="16" spans="2:5" x14ac:dyDescent="0.25">
      <c r="B16">
        <v>11</v>
      </c>
      <c r="C16">
        <f t="shared" si="0"/>
        <v>1.5500000000000005</v>
      </c>
      <c r="D16">
        <f t="shared" si="1"/>
        <v>2.2783372026414042</v>
      </c>
      <c r="E16">
        <f t="shared" si="2"/>
        <v>0.88437036036529626</v>
      </c>
    </row>
    <row r="17" spans="2:5" x14ac:dyDescent="0.25">
      <c r="B17">
        <v>12</v>
      </c>
      <c r="C17">
        <f t="shared" si="0"/>
        <v>1.6000000000000005</v>
      </c>
      <c r="D17">
        <f t="shared" si="1"/>
        <v>2.3225557206596692</v>
      </c>
      <c r="E17">
        <f t="shared" si="2"/>
        <v>0.93869607813910672</v>
      </c>
    </row>
    <row r="18" spans="2:5" x14ac:dyDescent="0.25">
      <c r="B18">
        <v>13</v>
      </c>
      <c r="C18">
        <f t="shared" si="0"/>
        <v>1.6500000000000006</v>
      </c>
      <c r="D18">
        <f t="shared" si="1"/>
        <v>2.3694905245666247</v>
      </c>
      <c r="E18">
        <f t="shared" si="2"/>
        <v>0.99099844013828686</v>
      </c>
    </row>
    <row r="19" spans="2:5" x14ac:dyDescent="0.25">
      <c r="B19">
        <v>14</v>
      </c>
      <c r="C19">
        <f t="shared" si="0"/>
        <v>1.7000000000000006</v>
      </c>
      <c r="D19">
        <f t="shared" si="1"/>
        <v>2.4190404465735389</v>
      </c>
      <c r="E19">
        <f t="shared" si="2"/>
        <v>1.0413370292430688</v>
      </c>
    </row>
    <row r="20" spans="2:5" x14ac:dyDescent="0.25">
      <c r="B20">
        <v>15</v>
      </c>
      <c r="C20">
        <f t="shared" si="0"/>
        <v>1.7500000000000007</v>
      </c>
      <c r="D20">
        <f t="shared" si="1"/>
        <v>2.4711072980356925</v>
      </c>
      <c r="E20">
        <f t="shared" si="2"/>
        <v>1.0897832594302241</v>
      </c>
    </row>
    <row r="21" spans="2:5" x14ac:dyDescent="0.25">
      <c r="B21">
        <v>16</v>
      </c>
      <c r="C21">
        <f t="shared" si="0"/>
        <v>1.8000000000000007</v>
      </c>
      <c r="D21">
        <f t="shared" si="1"/>
        <v>2.5255964610072037</v>
      </c>
      <c r="E21">
        <f t="shared" si="2"/>
        <v>1.1364182246044363</v>
      </c>
    </row>
    <row r="22" spans="2:5" x14ac:dyDescent="0.25">
      <c r="B22">
        <v>17</v>
      </c>
      <c r="C22">
        <f t="shared" si="0"/>
        <v>1.8500000000000008</v>
      </c>
      <c r="D22">
        <f t="shared" si="1"/>
        <v>2.5824173722374253</v>
      </c>
      <c r="E22">
        <f t="shared" si="2"/>
        <v>1.1813309513267405</v>
      </c>
    </row>
    <row r="23" spans="2:5" x14ac:dyDescent="0.25">
      <c r="B23">
        <v>18</v>
      </c>
      <c r="C23">
        <f t="shared" si="0"/>
        <v>1.9000000000000008</v>
      </c>
      <c r="D23">
        <f t="shared" si="1"/>
        <v>2.6414839198037625</v>
      </c>
      <c r="E23">
        <f t="shared" si="2"/>
        <v>1.2246170030521912</v>
      </c>
    </row>
    <row r="24" spans="2:5" x14ac:dyDescent="0.25">
      <c r="B24">
        <v>19</v>
      </c>
      <c r="C24">
        <f t="shared" si="0"/>
        <v>1.9500000000000008</v>
      </c>
      <c r="D24">
        <f t="shared" si="1"/>
        <v>2.7027147699563723</v>
      </c>
      <c r="E24">
        <f t="shared" si="2"/>
        <v>1.2663773872870281</v>
      </c>
    </row>
    <row r="25" spans="2:5" x14ac:dyDescent="0.25">
      <c r="B25">
        <v>20</v>
      </c>
      <c r="C25">
        <f t="shared" si="0"/>
        <v>2.0000000000000009</v>
      </c>
      <c r="D25">
        <f t="shared" si="1"/>
        <v>2.7660336393207237</v>
      </c>
      <c r="E25">
        <f t="shared" si="2"/>
        <v>1.3067177223562334</v>
      </c>
    </row>
    <row r="26" spans="2:5" x14ac:dyDescent="0.25">
      <c r="B26">
        <v>21</v>
      </c>
      <c r="C26">
        <f t="shared" si="0"/>
        <v>2.0500000000000007</v>
      </c>
      <c r="D26">
        <f t="shared" si="1"/>
        <v>2.8313695254385354</v>
      </c>
      <c r="E26">
        <f t="shared" si="2"/>
        <v>1.3457476264643464</v>
      </c>
    </row>
    <row r="27" spans="2:5" x14ac:dyDescent="0.25">
      <c r="B27">
        <v>22</v>
      </c>
      <c r="C27">
        <f t="shared" si="0"/>
        <v>2.1000000000000005</v>
      </c>
      <c r="D27">
        <f t="shared" si="1"/>
        <v>2.8986569067617527</v>
      </c>
      <c r="E27">
        <f t="shared" si="2"/>
        <v>1.3835802979085434</v>
      </c>
    </row>
    <row r="28" spans="2:5" x14ac:dyDescent="0.25">
      <c r="B28">
        <v>23</v>
      </c>
      <c r="C28">
        <f t="shared" si="0"/>
        <v>2.1500000000000004</v>
      </c>
      <c r="D28">
        <f t="shared" si="1"/>
        <v>2.9678359216571799</v>
      </c>
      <c r="E28">
        <f t="shared" si="2"/>
        <v>1.4203322613236651</v>
      </c>
    </row>
    <row r="29" spans="2:5" x14ac:dyDescent="0.25">
      <c r="B29">
        <v>24</v>
      </c>
      <c r="C29">
        <f t="shared" si="0"/>
        <v>2.2000000000000002</v>
      </c>
      <c r="D29">
        <f t="shared" si="1"/>
        <v>3.0388525347233633</v>
      </c>
      <c r="E29">
        <f t="shared" si="2"/>
        <v>1.4561232605041856</v>
      </c>
    </row>
    <row r="30" spans="2:5" x14ac:dyDescent="0.25">
      <c r="B30">
        <v>25</v>
      </c>
      <c r="C30">
        <f>C29+$D$2</f>
        <v>2.25</v>
      </c>
      <c r="D30">
        <f t="shared" si="1"/>
        <v>3.1116586977485725</v>
      </c>
      <c r="E30">
        <f t="shared" si="2"/>
        <v>1.4910762835590623</v>
      </c>
    </row>
    <row r="31" spans="2:5" x14ac:dyDescent="0.25">
      <c r="B31">
        <v>26</v>
      </c>
      <c r="C31">
        <f t="shared" si="0"/>
        <v>2.2999999999999998</v>
      </c>
      <c r="D31">
        <f t="shared" si="1"/>
        <v>3.1862125119265254</v>
      </c>
      <c r="E31">
        <f t="shared" si="2"/>
        <v>1.5253177108836717</v>
      </c>
    </row>
    <row r="32" spans="2:5" x14ac:dyDescent="0.25">
      <c r="B32">
        <v>27</v>
      </c>
      <c r="C32">
        <f t="shared" si="0"/>
        <v>2.3499999999999996</v>
      </c>
      <c r="D32">
        <f t="shared" si="1"/>
        <v>3.262478397470709</v>
      </c>
      <c r="E32">
        <f t="shared" si="2"/>
        <v>1.5589775806980475</v>
      </c>
    </row>
    <row r="33" spans="2:5" x14ac:dyDescent="0.25">
      <c r="B33">
        <v>28</v>
      </c>
      <c r="C33">
        <f t="shared" si="0"/>
        <v>2.3999999999999995</v>
      </c>
      <c r="D33">
        <f t="shared" si="1"/>
        <v>3.3404272765056113</v>
      </c>
      <c r="E33">
        <f t="shared" si="2"/>
        <v>1.5921899707521727</v>
      </c>
    </row>
    <row r="34" spans="2:5" x14ac:dyDescent="0.25">
      <c r="B34">
        <v>29</v>
      </c>
      <c r="C34">
        <f t="shared" si="0"/>
        <v>2.4499999999999993</v>
      </c>
      <c r="D34">
        <f t="shared" si="1"/>
        <v>3.4200367750432199</v>
      </c>
      <c r="E34">
        <f t="shared" si="2"/>
        <v>1.6250934983046523</v>
      </c>
    </row>
    <row r="35" spans="2:5" x14ac:dyDescent="0.25">
      <c r="B35">
        <v>30</v>
      </c>
      <c r="C35">
        <f t="shared" si="0"/>
        <v>2.4999999999999991</v>
      </c>
      <c r="D35">
        <f t="shared" si="1"/>
        <v>3.5012914499584524</v>
      </c>
      <c r="E35">
        <f t="shared" si="2"/>
        <v>1.6578319437162459</v>
      </c>
    </row>
    <row r="36" spans="2:5" x14ac:dyDescent="0.25">
      <c r="B36">
        <v>31</v>
      </c>
      <c r="C36">
        <f t="shared" si="0"/>
        <v>2.5499999999999989</v>
      </c>
      <c r="D36">
        <f t="shared" si="1"/>
        <v>3.5841830471442648</v>
      </c>
      <c r="E36">
        <f t="shared" si="2"/>
        <v>1.6905550060403836</v>
      </c>
    </row>
    <row r="37" spans="2:5" x14ac:dyDescent="0.25">
      <c r="B37">
        <v>32</v>
      </c>
      <c r="C37">
        <f t="shared" si="0"/>
        <v>2.5999999999999988</v>
      </c>
      <c r="D37">
        <f t="shared" si="1"/>
        <v>3.668710797446284</v>
      </c>
      <c r="E37">
        <f t="shared" si="2"/>
        <v>1.7234192019084962</v>
      </c>
    </row>
    <row r="38" spans="2:5" x14ac:dyDescent="0.25">
      <c r="B38">
        <v>33</v>
      </c>
      <c r="C38">
        <f t="shared" si="0"/>
        <v>2.6499999999999986</v>
      </c>
      <c r="D38">
        <f t="shared" si="1"/>
        <v>3.7548817575417091</v>
      </c>
      <c r="E38">
        <f t="shared" si="2"/>
        <v>1.7565889218553874</v>
      </c>
    </row>
    <row r="39" spans="2:5" x14ac:dyDescent="0.25">
      <c r="B39">
        <v>34</v>
      </c>
      <c r="C39">
        <f t="shared" si="0"/>
        <v>2.6999999999999984</v>
      </c>
      <c r="D39">
        <f t="shared" si="1"/>
        <v>3.8427112036344786</v>
      </c>
      <c r="E39">
        <f t="shared" si="2"/>
        <v>1.7902376610443544</v>
      </c>
    </row>
    <row r="40" spans="2:5" x14ac:dyDescent="0.25">
      <c r="B40">
        <v>35</v>
      </c>
      <c r="C40">
        <f t="shared" si="0"/>
        <v>2.7499999999999982</v>
      </c>
      <c r="D40">
        <f t="shared" si="1"/>
        <v>3.9322230866866965</v>
      </c>
      <c r="E40">
        <f t="shared" si="2"/>
        <v>1.8245494441372265</v>
      </c>
    </row>
    <row r="41" spans="2:5" x14ac:dyDescent="0.25">
      <c r="B41">
        <v>36</v>
      </c>
      <c r="C41">
        <f t="shared" si="0"/>
        <v>2.799999999999998</v>
      </c>
      <c r="D41">
        <f t="shared" si="1"/>
        <v>4.0234505588935576</v>
      </c>
      <c r="E41">
        <f t="shared" si="2"/>
        <v>1.8597204667681768</v>
      </c>
    </row>
    <row r="42" spans="2:5" x14ac:dyDescent="0.25">
      <c r="B42">
        <v>37</v>
      </c>
      <c r="C42">
        <f t="shared" si="0"/>
        <v>2.8499999999999979</v>
      </c>
      <c r="D42">
        <f t="shared" si="1"/>
        <v>4.1164365822319668</v>
      </c>
      <c r="E42">
        <f t="shared" si="2"/>
        <v>1.895960978611078</v>
      </c>
    </row>
    <row r="43" spans="2:5" x14ac:dyDescent="0.25">
      <c r="B43">
        <v>38</v>
      </c>
      <c r="C43">
        <f t="shared" si="0"/>
        <v>2.8999999999999977</v>
      </c>
      <c r="D43">
        <f t="shared" si="1"/>
        <v>4.2112346311625206</v>
      </c>
      <c r="E43">
        <f t="shared" si="2"/>
        <v>1.9334974351673013</v>
      </c>
    </row>
    <row r="44" spans="2:5" x14ac:dyDescent="0.25">
      <c r="B44">
        <v>39</v>
      </c>
      <c r="C44">
        <f>C43+$D$2</f>
        <v>2.9499999999999975</v>
      </c>
      <c r="D44">
        <f t="shared" si="1"/>
        <v>4.3079095029208858</v>
      </c>
      <c r="E44">
        <f t="shared" si="2"/>
        <v>1.9725749467863958</v>
      </c>
    </row>
    <row r="45" spans="2:5" x14ac:dyDescent="0.25">
      <c r="B45">
        <v>40</v>
      </c>
      <c r="C45">
        <f t="shared" si="0"/>
        <v>2.9999999999999973</v>
      </c>
      <c r="D45">
        <f t="shared" si="1"/>
        <v>4.4065382502602057</v>
      </c>
      <c r="E45">
        <f t="shared" si="2"/>
        <v>2.0134600534934259</v>
      </c>
    </row>
    <row r="46" spans="2:5" x14ac:dyDescent="0.25">
      <c r="B46">
        <v>41</v>
      </c>
      <c r="C46">
        <f t="shared" si="0"/>
        <v>3.0499999999999972</v>
      </c>
      <c r="D46">
        <f t="shared" si="1"/>
        <v>4.5072112529348773</v>
      </c>
      <c r="E46">
        <f t="shared" si="2"/>
        <v>2.0564438520470216</v>
      </c>
    </row>
    <row r="47" spans="2:5" x14ac:dyDescent="0.25">
      <c r="B47">
        <v>42</v>
      </c>
      <c r="C47">
        <f t="shared" si="0"/>
        <v>3.099999999999997</v>
      </c>
      <c r="D47">
        <f t="shared" si="1"/>
        <v>4.610033445537228</v>
      </c>
      <c r="E47">
        <f t="shared" si="2"/>
        <v>2.1018454959472939</v>
      </c>
    </row>
    <row r="48" spans="2:5" x14ac:dyDescent="0.25">
      <c r="B48">
        <v>43</v>
      </c>
      <c r="C48">
        <f t="shared" si="0"/>
        <v>3.1499999999999968</v>
      </c>
      <c r="D48">
        <f t="shared" si="1"/>
        <v>4.7151257203345924</v>
      </c>
      <c r="E48">
        <f t="shared" si="2"/>
        <v>2.1500160778457276</v>
      </c>
    </row>
    <row r="49" spans="2:5" x14ac:dyDescent="0.25">
      <c r="B49">
        <v>44</v>
      </c>
      <c r="C49">
        <f t="shared" si="0"/>
        <v>3.1999999999999966</v>
      </c>
      <c r="D49">
        <f t="shared" si="1"/>
        <v>4.8226265242268784</v>
      </c>
      <c r="E49">
        <f t="shared" si="2"/>
        <v>2.2013428840189917</v>
      </c>
    </row>
    <row r="50" spans="2:5" x14ac:dyDescent="0.25">
      <c r="B50">
        <v>45</v>
      </c>
      <c r="C50">
        <f>C49+$D$2</f>
        <v>3.2499999999999964</v>
      </c>
      <c r="D50">
        <f t="shared" si="1"/>
        <v>4.9326936684278282</v>
      </c>
      <c r="E50">
        <f t="shared" si="2"/>
        <v>2.2562539779322641</v>
      </c>
    </row>
    <row r="51" spans="2:5" x14ac:dyDescent="0.25">
      <c r="B51">
        <v>46</v>
      </c>
      <c r="C51">
        <f t="shared" si="0"/>
        <v>3.2999999999999963</v>
      </c>
      <c r="D51">
        <f t="shared" si="1"/>
        <v>5.0455063673244416</v>
      </c>
      <c r="E51">
        <f t="shared" si="2"/>
        <v>2.3152230181885698</v>
      </c>
    </row>
    <row r="52" spans="2:5" x14ac:dyDescent="0.25">
      <c r="B52">
        <v>47</v>
      </c>
      <c r="C52">
        <f t="shared" si="0"/>
        <v>3.3499999999999961</v>
      </c>
      <c r="D52">
        <f t="shared" si="1"/>
        <v>5.1612675182338696</v>
      </c>
      <c r="E52">
        <f t="shared" si="2"/>
        <v>2.3787741364153097</v>
      </c>
    </row>
    <row r="53" spans="2:5" x14ac:dyDescent="0.25">
      <c r="B53">
        <v>48</v>
      </c>
      <c r="C53">
        <f t="shared" si="0"/>
        <v>3.3999999999999959</v>
      </c>
      <c r="D53">
        <f t="shared" si="1"/>
        <v>5.2802062250546351</v>
      </c>
      <c r="E53">
        <f t="shared" si="2"/>
        <v>2.4474865803033077</v>
      </c>
    </row>
    <row r="54" spans="2:5" x14ac:dyDescent="0.25">
      <c r="B54">
        <v>49</v>
      </c>
      <c r="C54">
        <f t="shared" si="0"/>
        <v>3.4499999999999957</v>
      </c>
      <c r="D54">
        <f t="shared" si="1"/>
        <v>5.4025805540698002</v>
      </c>
      <c r="E54">
        <f t="shared" si="2"/>
        <v>2.5219986486768979</v>
      </c>
    </row>
    <row r="55" spans="2:5" x14ac:dyDescent="0.25">
      <c r="B55">
        <v>50</v>
      </c>
      <c r="C55">
        <f t="shared" si="0"/>
        <v>3.4999999999999956</v>
      </c>
      <c r="D55">
        <f t="shared" si="1"/>
        <v>5.528680486503645</v>
      </c>
      <c r="E55">
        <f t="shared" si="2"/>
        <v>2.6030101855976504</v>
      </c>
    </row>
    <row r="56" spans="2:5" x14ac:dyDescent="0.25">
      <c r="B56">
        <v>51</v>
      </c>
      <c r="C56">
        <f t="shared" si="0"/>
        <v>3.5499999999999954</v>
      </c>
      <c r="D56">
        <f t="shared" si="1"/>
        <v>5.6588309957835277</v>
      </c>
      <c r="E56">
        <f t="shared" si="2"/>
        <v>2.6912825283386979</v>
      </c>
    </row>
    <row r="57" spans="2:5" x14ac:dyDescent="0.25">
      <c r="B57">
        <v>52</v>
      </c>
      <c r="C57">
        <f t="shared" si="0"/>
        <v>3.5999999999999952</v>
      </c>
      <c r="D57">
        <f t="shared" si="1"/>
        <v>5.7933951222004625</v>
      </c>
      <c r="E57">
        <f t="shared" si="2"/>
        <v>2.7876342815026645</v>
      </c>
    </row>
    <row r="58" spans="2:5" x14ac:dyDescent="0.25">
      <c r="B58">
        <v>53</v>
      </c>
      <c r="C58">
        <f t="shared" si="0"/>
        <v>3.649999999999995</v>
      </c>
      <c r="D58">
        <f t="shared" si="1"/>
        <v>5.9327768362755959</v>
      </c>
      <c r="E58">
        <f t="shared" si="2"/>
        <v>2.8929305734344646</v>
      </c>
    </row>
    <row r="59" spans="2:5" x14ac:dyDescent="0.25">
      <c r="B59">
        <v>54</v>
      </c>
      <c r="C59">
        <f t="shared" si="0"/>
        <v>3.6999999999999948</v>
      </c>
      <c r="D59">
        <f t="shared" si="1"/>
        <v>6.0774233649473191</v>
      </c>
      <c r="E59">
        <f t="shared" si="2"/>
        <v>3.0080625008385384</v>
      </c>
    </row>
    <row r="60" spans="2:5" x14ac:dyDescent="0.25">
      <c r="B60">
        <v>55</v>
      </c>
      <c r="C60">
        <f t="shared" si="0"/>
        <v>3.7499999999999947</v>
      </c>
      <c r="D60">
        <f t="shared" si="1"/>
        <v>6.2278264899892459</v>
      </c>
      <c r="E60">
        <f t="shared" si="2"/>
        <v>3.1339122632890186</v>
      </c>
    </row>
    <row r="61" spans="2:5" x14ac:dyDescent="0.25">
      <c r="B61">
        <v>56</v>
      </c>
      <c r="C61">
        <f>C60+$D$2</f>
        <v>3.7999999999999945</v>
      </c>
      <c r="D61">
        <f t="shared" si="1"/>
        <v>6.3845221031536967</v>
      </c>
      <c r="E61">
        <f t="shared" si="2"/>
        <v>3.2712980688766109</v>
      </c>
    </row>
    <row r="62" spans="2:5" x14ac:dyDescent="0.25">
      <c r="B62">
        <v>57</v>
      </c>
      <c r="C62">
        <f t="shared" si="0"/>
        <v>3.8499999999999943</v>
      </c>
      <c r="D62">
        <f t="shared" si="1"/>
        <v>6.5480870065975276</v>
      </c>
      <c r="E62">
        <f t="shared" si="2"/>
        <v>3.4208914187854331</v>
      </c>
    </row>
    <row r="63" spans="2:5" x14ac:dyDescent="0.25">
      <c r="B63">
        <v>58</v>
      </c>
      <c r="C63">
        <f t="shared" si="0"/>
        <v>3.8999999999999941</v>
      </c>
      <c r="D63">
        <f t="shared" si="1"/>
        <v>6.7191315775367997</v>
      </c>
      <c r="E63">
        <f t="shared" si="2"/>
        <v>3.5830982538339651</v>
      </c>
    </row>
    <row r="64" spans="2:5" x14ac:dyDescent="0.25">
      <c r="B64">
        <v>59</v>
      </c>
      <c r="C64">
        <f t="shared" si="0"/>
        <v>3.949999999999994</v>
      </c>
      <c r="D64">
        <f t="shared" si="1"/>
        <v>6.8982864902284984</v>
      </c>
      <c r="E64">
        <f t="shared" si="2"/>
        <v>3.7578954766959951</v>
      </c>
    </row>
    <row r="65" spans="2:5" x14ac:dyDescent="0.25">
      <c r="B65">
        <v>60</v>
      </c>
      <c r="C65">
        <f t="shared" si="0"/>
        <v>3.9999999999999938</v>
      </c>
      <c r="D65">
        <f t="shared" si="1"/>
        <v>7.0861812640632982</v>
      </c>
      <c r="E65">
        <f t="shared" si="2"/>
        <v>3.9446169621796363</v>
      </c>
    </row>
    <row r="66" spans="2:5" x14ac:dyDescent="0.25">
      <c r="B66">
        <v>61</v>
      </c>
      <c r="C66">
        <f t="shared" si="0"/>
        <v>4.0499999999999936</v>
      </c>
      <c r="D66">
        <f t="shared" si="1"/>
        <v>7.2834121121722797</v>
      </c>
      <c r="E66">
        <f t="shared" si="2"/>
        <v>4.1416904941777783</v>
      </c>
    </row>
    <row r="67" spans="2:5" x14ac:dyDescent="0.25">
      <c r="B67">
        <v>62</v>
      </c>
      <c r="C67">
        <f>C66+$D$2</f>
        <v>4.0999999999999934</v>
      </c>
      <c r="D67">
        <f t="shared" si="1"/>
        <v>7.4904966368811685</v>
      </c>
      <c r="E67">
        <f t="shared" si="2"/>
        <v>4.3463418666664317</v>
      </c>
    </row>
    <row r="68" spans="2:5" x14ac:dyDescent="0.25">
      <c r="B68">
        <v>63</v>
      </c>
      <c r="C68">
        <f t="shared" si="0"/>
        <v>4.1499999999999932</v>
      </c>
      <c r="D68">
        <f t="shared" si="1"/>
        <v>7.7078137302144905</v>
      </c>
      <c r="E68">
        <f t="shared" si="2"/>
        <v>4.5543070566720498</v>
      </c>
    </row>
    <row r="69" spans="2:5" x14ac:dyDescent="0.25">
      <c r="B69">
        <v>64</v>
      </c>
      <c r="C69">
        <f t="shared" si="0"/>
        <v>4.1999999999999931</v>
      </c>
      <c r="D69">
        <f t="shared" si="1"/>
        <v>7.9355290830480927</v>
      </c>
      <c r="E69">
        <f t="shared" si="2"/>
        <v>4.7596276432985203</v>
      </c>
    </row>
    <row r="70" spans="2:5" x14ac:dyDescent="0.25">
      <c r="B70">
        <v>65</v>
      </c>
      <c r="C70">
        <f t="shared" si="0"/>
        <v>4.2499999999999929</v>
      </c>
      <c r="D70">
        <f t="shared" si="1"/>
        <v>8.1735104652130186</v>
      </c>
      <c r="E70">
        <f t="shared" si="2"/>
        <v>4.9546415232799976</v>
      </c>
    </row>
    <row r="71" spans="2:5" x14ac:dyDescent="0.25">
      <c r="B71">
        <v>66</v>
      </c>
      <c r="C71">
        <f t="shared" ref="C71:C77" si="3">C70+$D$2</f>
        <v>4.2999999999999927</v>
      </c>
      <c r="D71">
        <f t="shared" ref="D71:D85" si="4">D70 + $D$2 * E70</f>
        <v>8.4212425413770191</v>
      </c>
      <c r="E71">
        <f t="shared" ref="E71:E85" si="5">SIN(C71-D71) + C71</f>
        <v>5.1303022991989522</v>
      </c>
    </row>
    <row r="72" spans="2:5" x14ac:dyDescent="0.25">
      <c r="B72">
        <v>67</v>
      </c>
      <c r="C72">
        <f t="shared" si="3"/>
        <v>4.3499999999999925</v>
      </c>
      <c r="D72">
        <f t="shared" si="4"/>
        <v>8.6777576563369667</v>
      </c>
      <c r="E72">
        <f t="shared" si="5"/>
        <v>5.2769368293062922</v>
      </c>
    </row>
    <row r="73" spans="2:5" x14ac:dyDescent="0.25">
      <c r="B73">
        <v>68</v>
      </c>
      <c r="C73">
        <f t="shared" si="3"/>
        <v>4.3999999999999924</v>
      </c>
      <c r="D73">
        <f t="shared" si="4"/>
        <v>8.9416044978022811</v>
      </c>
      <c r="E73">
        <f t="shared" si="5"/>
        <v>5.3854517430462883</v>
      </c>
    </row>
    <row r="74" spans="2:5" x14ac:dyDescent="0.25">
      <c r="B74">
        <v>69</v>
      </c>
      <c r="C74">
        <f t="shared" si="3"/>
        <v>4.4499999999999922</v>
      </c>
      <c r="D74">
        <f t="shared" si="4"/>
        <v>9.2108770849545962</v>
      </c>
      <c r="E74">
        <f t="shared" si="5"/>
        <v>5.4488246821584569</v>
      </c>
    </row>
    <row r="75" spans="2:5" x14ac:dyDescent="0.25">
      <c r="B75">
        <v>70</v>
      </c>
      <c r="C75">
        <f t="shared" si="3"/>
        <v>4.499999999999992</v>
      </c>
      <c r="D75">
        <f t="shared" si="4"/>
        <v>9.4833183190625192</v>
      </c>
      <c r="E75">
        <f t="shared" si="5"/>
        <v>5.463522596370697</v>
      </c>
    </row>
    <row r="76" spans="2:5" x14ac:dyDescent="0.25">
      <c r="B76">
        <v>71</v>
      </c>
      <c r="C76">
        <f t="shared" si="3"/>
        <v>4.5499999999999918</v>
      </c>
      <c r="D76">
        <f t="shared" si="4"/>
        <v>9.7564944488810532</v>
      </c>
      <c r="E76">
        <f t="shared" si="5"/>
        <v>5.4303932884872417</v>
      </c>
    </row>
    <row r="77" spans="2:5" x14ac:dyDescent="0.25">
      <c r="B77">
        <v>72</v>
      </c>
      <c r="C77">
        <f t="shared" si="3"/>
        <v>4.5999999999999917</v>
      </c>
      <c r="D77">
        <f t="shared" si="4"/>
        <v>10.028014113305415</v>
      </c>
      <c r="E77">
        <f t="shared" si="5"/>
        <v>5.3546832456657745</v>
      </c>
    </row>
    <row r="78" spans="2:5" x14ac:dyDescent="0.25">
      <c r="B78">
        <v>73</v>
      </c>
      <c r="C78">
        <f>C77+$D$2</f>
        <v>4.6499999999999915</v>
      </c>
      <c r="D78">
        <f t="shared" si="4"/>
        <v>10.295748275588704</v>
      </c>
      <c r="E78">
        <f t="shared" si="5"/>
        <v>5.2451377360947209</v>
      </c>
    </row>
    <row r="79" spans="2:5" x14ac:dyDescent="0.25">
      <c r="B79">
        <v>74</v>
      </c>
      <c r="C79">
        <f t="shared" ref="C79:C85" si="6">C78+$D$2</f>
        <v>4.6999999999999913</v>
      </c>
      <c r="D79">
        <f t="shared" si="4"/>
        <v>10.558005162393439</v>
      </c>
      <c r="E79">
        <f t="shared" si="5"/>
        <v>5.1124848939298939</v>
      </c>
    </row>
    <row r="80" spans="2:5" x14ac:dyDescent="0.25">
      <c r="B80">
        <v>75</v>
      </c>
      <c r="C80">
        <f t="shared" si="6"/>
        <v>4.7499999999999911</v>
      </c>
      <c r="D80">
        <f t="shared" si="4"/>
        <v>10.813629407089934</v>
      </c>
      <c r="E80">
        <f t="shared" si="5"/>
        <v>4.967796205605203</v>
      </c>
    </row>
    <row r="81" spans="2:5" x14ac:dyDescent="0.25">
      <c r="B81">
        <v>76</v>
      </c>
      <c r="C81">
        <f t="shared" si="6"/>
        <v>4.7999999999999909</v>
      </c>
      <c r="D81">
        <f t="shared" si="4"/>
        <v>11.062019217370194</v>
      </c>
      <c r="E81">
        <f t="shared" si="5"/>
        <v>4.8211645094315578</v>
      </c>
    </row>
    <row r="82" spans="2:5" x14ac:dyDescent="0.25">
      <c r="B82">
        <v>77</v>
      </c>
      <c r="C82">
        <f t="shared" si="6"/>
        <v>4.8499999999999908</v>
      </c>
      <c r="D82">
        <f t="shared" si="4"/>
        <v>11.303077442841772</v>
      </c>
      <c r="E82">
        <f t="shared" si="5"/>
        <v>4.6809239613652167</v>
      </c>
    </row>
    <row r="83" spans="2:5" x14ac:dyDescent="0.25">
      <c r="B83">
        <v>78</v>
      </c>
      <c r="C83">
        <f t="shared" si="6"/>
        <v>4.8999999999999906</v>
      </c>
      <c r="D83">
        <f t="shared" si="4"/>
        <v>11.537123640910034</v>
      </c>
      <c r="E83">
        <f t="shared" si="5"/>
        <v>4.5534052981177986</v>
      </c>
    </row>
    <row r="84" spans="2:5" x14ac:dyDescent="0.25">
      <c r="B84">
        <v>79</v>
      </c>
      <c r="C84">
        <f t="shared" si="6"/>
        <v>4.9499999999999904</v>
      </c>
      <c r="D84">
        <f t="shared" si="4"/>
        <v>11.764793905815925</v>
      </c>
      <c r="E84">
        <f t="shared" si="5"/>
        <v>4.4430794031728995</v>
      </c>
    </row>
    <row r="85" spans="2:5" x14ac:dyDescent="0.25">
      <c r="B85">
        <v>80</v>
      </c>
      <c r="C85">
        <f t="shared" si="6"/>
        <v>4.9999999999999902</v>
      </c>
      <c r="D85">
        <f t="shared" si="4"/>
        <v>11.98694787597457</v>
      </c>
      <c r="E85">
        <f t="shared" si="5"/>
        <v>4.3529091082704072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A1B1-C909-4111-92DC-3F2D337C3F72}">
  <dimension ref="B1:Q85"/>
  <sheetViews>
    <sheetView topLeftCell="A50" workbookViewId="0">
      <selection activeCell="B4" sqref="B4:Q8"/>
    </sheetView>
  </sheetViews>
  <sheetFormatPr defaultRowHeight="15" x14ac:dyDescent="0.25"/>
  <cols>
    <col min="2" max="2" width="5.42578125" customWidth="1"/>
    <col min="6" max="6" width="9.140625" customWidth="1"/>
    <col min="7" max="7" width="9.5703125" customWidth="1"/>
    <col min="9" max="9" width="17.7109375" customWidth="1"/>
    <col min="12" max="12" width="18.28515625" customWidth="1"/>
    <col min="16" max="16" width="14" customWidth="1"/>
  </cols>
  <sheetData>
    <row r="1" spans="2:17" x14ac:dyDescent="0.25">
      <c r="I1" t="s">
        <v>2</v>
      </c>
      <c r="J1" t="s">
        <v>3</v>
      </c>
      <c r="K1" t="s">
        <v>4</v>
      </c>
      <c r="L1" t="s">
        <v>5</v>
      </c>
    </row>
    <row r="2" spans="2:17" x14ac:dyDescent="0.25">
      <c r="I2" t="s">
        <v>0</v>
      </c>
      <c r="J2" t="s">
        <v>1</v>
      </c>
      <c r="K2">
        <v>0.05</v>
      </c>
      <c r="L2">
        <v>2</v>
      </c>
    </row>
    <row r="4" spans="2:17" x14ac:dyDescent="0.25">
      <c r="B4" t="s">
        <v>6</v>
      </c>
      <c r="C4" t="s">
        <v>8</v>
      </c>
      <c r="D4" t="s">
        <v>7</v>
      </c>
      <c r="E4" t="s">
        <v>10</v>
      </c>
      <c r="F4" t="s">
        <v>12</v>
      </c>
      <c r="G4" t="s">
        <v>16</v>
      </c>
      <c r="H4" t="s">
        <v>17</v>
      </c>
      <c r="I4" t="s">
        <v>15</v>
      </c>
      <c r="J4" t="s">
        <v>11</v>
      </c>
      <c r="K4" t="s">
        <v>18</v>
      </c>
      <c r="L4" t="s">
        <v>19</v>
      </c>
      <c r="M4" t="s">
        <v>13</v>
      </c>
      <c r="N4" t="s">
        <v>20</v>
      </c>
      <c r="O4" t="s">
        <v>21</v>
      </c>
      <c r="P4" t="s">
        <v>22</v>
      </c>
      <c r="Q4" t="s">
        <v>14</v>
      </c>
    </row>
    <row r="5" spans="2:17" x14ac:dyDescent="0.25">
      <c r="B5">
        <v>0</v>
      </c>
      <c r="C5">
        <f>1</f>
        <v>1</v>
      </c>
      <c r="D5">
        <f>L2</f>
        <v>2</v>
      </c>
      <c r="E5">
        <f>SIN(C5 - D5) + C5</f>
        <v>0.1585290151921035</v>
      </c>
      <c r="F5">
        <f>$K$2 * E5</f>
        <v>7.9264507596051755E-3</v>
      </c>
      <c r="G5">
        <f>C5 + $K$2 / 2</f>
        <v>1.0249999999999999</v>
      </c>
      <c r="H5">
        <f>D5 + F5 / 2</f>
        <v>2.0039632253798025</v>
      </c>
      <c r="I5">
        <f>SIN(G5 - H5) + G5</f>
        <v>0.19508058259537553</v>
      </c>
      <c r="J5">
        <f>$K$2 * I5</f>
        <v>9.7540291297687765E-3</v>
      </c>
      <c r="K5">
        <f>D5 + J5/2</f>
        <v>2.0048770145648844</v>
      </c>
      <c r="L5">
        <f>SIN(G5 - K5) + G5</f>
        <v>0.19457114144894949</v>
      </c>
      <c r="M5">
        <f xml:space="preserve"> $K$2 * L5</f>
        <v>9.7285570724474756E-3</v>
      </c>
      <c r="N5">
        <f>C5 + $K$2</f>
        <v>1.05</v>
      </c>
      <c r="O5">
        <f>D5 + M5</f>
        <v>2.0097285570724477</v>
      </c>
      <c r="P5">
        <f>SIN(N5 - O5) + N5</f>
        <v>0.23096413982065378</v>
      </c>
      <c r="Q5">
        <f>$K$2 * P5</f>
        <v>1.154820699103269E-2</v>
      </c>
    </row>
    <row r="6" spans="2:17" x14ac:dyDescent="0.25">
      <c r="B6">
        <v>1</v>
      </c>
      <c r="C6">
        <f>C5 + $K$2</f>
        <v>1.05</v>
      </c>
      <c r="D6">
        <f>D5 + (F5 + 2*J5 + 2*M5 + Q5)/6</f>
        <v>2.009739971692512</v>
      </c>
      <c r="E6">
        <f>SIN(C6 - D6) + C6</f>
        <v>0.23095759082331457</v>
      </c>
      <c r="F6">
        <f>$K$2 * E6</f>
        <v>1.1547879541165729E-2</v>
      </c>
      <c r="G6">
        <f>C6 + $K$2 / 2</f>
        <v>1.075</v>
      </c>
      <c r="H6">
        <f>D6 + F6 / 2</f>
        <v>2.0155139114630947</v>
      </c>
      <c r="I6">
        <f>SIN(G6 - H6) + G6</f>
        <v>0.26713890742142832</v>
      </c>
      <c r="J6">
        <f>$K$2 * I6</f>
        <v>1.3356945371071417E-2</v>
      </c>
      <c r="K6">
        <f>D6 + J6/2</f>
        <v>2.0164184443780475</v>
      </c>
      <c r="L6">
        <f>SIN(G6 - K6) + G6</f>
        <v>0.26660613076410755</v>
      </c>
      <c r="M6">
        <f xml:space="preserve"> $K$2 * L6</f>
        <v>1.3330306538205378E-2</v>
      </c>
      <c r="N6">
        <f>C6 + $K$2</f>
        <v>1.1000000000000001</v>
      </c>
      <c r="O6">
        <f>D6 + M6</f>
        <v>2.0230702782307173</v>
      </c>
      <c r="P6">
        <f>SIN(N6 - O6) + N6</f>
        <v>0.30254209635678353</v>
      </c>
      <c r="Q6">
        <f>$K$2 * P6</f>
        <v>1.5127104817839177E-2</v>
      </c>
    </row>
    <row r="7" spans="2:17" x14ac:dyDescent="0.25">
      <c r="B7">
        <v>2</v>
      </c>
      <c r="C7">
        <f>C6 + $K$2</f>
        <v>1.1000000000000001</v>
      </c>
      <c r="D7">
        <f t="shared" ref="D7:D70" si="0">D6 + (F6 + 2*J6 + 2*M6 + Q6)/6</f>
        <v>2.0230815530554382</v>
      </c>
      <c r="E7">
        <f t="shared" ref="E7:E70" si="1">SIN(C7 - D7) + C7</f>
        <v>0.30253529346476427</v>
      </c>
      <c r="F7">
        <f t="shared" ref="F7:F70" si="2">$K$2 * E7</f>
        <v>1.5126764673238214E-2</v>
      </c>
      <c r="G7">
        <f t="shared" ref="G7:G70" si="3">C7 + $K$2 / 2</f>
        <v>1.125</v>
      </c>
      <c r="H7">
        <f t="shared" ref="H7:H70" si="4">D7 + F7 / 2</f>
        <v>2.0306449353920573</v>
      </c>
      <c r="I7">
        <f t="shared" ref="I7:I70" si="5">SIN(G7 - H7) + G7</f>
        <v>0.33817664133676628</v>
      </c>
      <c r="J7">
        <f t="shared" ref="J7:J70" si="6">$K$2 * I7</f>
        <v>1.6908832066838315E-2</v>
      </c>
      <c r="K7">
        <f t="shared" ref="K7:K70" si="7">D7 + J7/2</f>
        <v>2.0315359690888575</v>
      </c>
      <c r="L7">
        <f t="shared" ref="L7:L70" si="8">SIN(G7 - K7) + G7</f>
        <v>0.33762702713030246</v>
      </c>
      <c r="M7">
        <f t="shared" ref="M7:M70" si="9" xml:space="preserve"> $K$2 * L7</f>
        <v>1.6881351356515122E-2</v>
      </c>
      <c r="N7">
        <f t="shared" ref="N7:N70" si="10">C7 + $K$2</f>
        <v>1.1500000000000001</v>
      </c>
      <c r="O7">
        <f t="shared" ref="O7:O70" si="11">D7 + M7</f>
        <v>2.0399629044119534</v>
      </c>
      <c r="P7">
        <f t="shared" ref="P7:P70" si="12">SIN(N7 - O7) + N7</f>
        <v>0.37295160141707784</v>
      </c>
      <c r="Q7">
        <f t="shared" ref="Q7:Q70" si="13">$K$2 * P7</f>
        <v>1.8647580070853893E-2</v>
      </c>
    </row>
    <row r="8" spans="2:17" x14ac:dyDescent="0.25">
      <c r="B8">
        <v>3</v>
      </c>
      <c r="C8">
        <f>C7 + $K$2</f>
        <v>1.1500000000000001</v>
      </c>
      <c r="D8">
        <f t="shared" si="0"/>
        <v>2.0399740049872381</v>
      </c>
      <c r="E8">
        <f t="shared" si="1"/>
        <v>0.3729446143093873</v>
      </c>
      <c r="F8">
        <f t="shared" si="2"/>
        <v>1.8647230715469365E-2</v>
      </c>
      <c r="G8">
        <f t="shared" si="3"/>
        <v>1.175</v>
      </c>
      <c r="H8">
        <f t="shared" si="4"/>
        <v>2.0492976203449729</v>
      </c>
      <c r="I8">
        <f t="shared" si="5"/>
        <v>0.40790691020793024</v>
      </c>
      <c r="J8">
        <f t="shared" si="6"/>
        <v>2.0395345510396512E-2</v>
      </c>
      <c r="K8">
        <f t="shared" si="7"/>
        <v>2.0501716777424366</v>
      </c>
      <c r="L8">
        <f t="shared" si="8"/>
        <v>0.40734646418199483</v>
      </c>
      <c r="M8">
        <f t="shared" si="9"/>
        <v>2.0367323209099744E-2</v>
      </c>
      <c r="N8">
        <f t="shared" si="10"/>
        <v>1.2000000000000002</v>
      </c>
      <c r="O8">
        <f t="shared" si="11"/>
        <v>2.0603413281963379</v>
      </c>
      <c r="P8">
        <f t="shared" si="12"/>
        <v>0.44193478595101565</v>
      </c>
      <c r="Q8">
        <f t="shared" si="13"/>
        <v>2.2096739297550783E-2</v>
      </c>
    </row>
    <row r="9" spans="2:17" x14ac:dyDescent="0.25">
      <c r="B9">
        <v>4</v>
      </c>
      <c r="C9">
        <f>C8 + $K$2</f>
        <v>1.2000000000000002</v>
      </c>
      <c r="D9">
        <f t="shared" si="0"/>
        <v>2.060352222895907</v>
      </c>
      <c r="E9">
        <f t="shared" si="1"/>
        <v>0.4419276807043806</v>
      </c>
      <c r="F9">
        <f t="shared" si="2"/>
        <v>2.2096384035219033E-2</v>
      </c>
      <c r="G9">
        <f t="shared" si="3"/>
        <v>1.2250000000000001</v>
      </c>
      <c r="H9">
        <f t="shared" si="4"/>
        <v>2.0714004149135166</v>
      </c>
      <c r="I9">
        <f t="shared" si="5"/>
        <v>0.47610012238836974</v>
      </c>
      <c r="J9">
        <f t="shared" si="6"/>
        <v>2.3805006119418489E-2</v>
      </c>
      <c r="K9">
        <f t="shared" si="7"/>
        <v>2.0722547259556161</v>
      </c>
      <c r="L9">
        <f t="shared" si="8"/>
        <v>0.47553425820573259</v>
      </c>
      <c r="M9">
        <f t="shared" si="9"/>
        <v>2.3776712910286629E-2</v>
      </c>
      <c r="N9">
        <f t="shared" si="10"/>
        <v>1.2500000000000002</v>
      </c>
      <c r="O9">
        <f t="shared" si="11"/>
        <v>2.0841289358061936</v>
      </c>
      <c r="P9">
        <f t="shared" si="12"/>
        <v>0.50928840827600674</v>
      </c>
      <c r="Q9">
        <f t="shared" si="13"/>
        <v>2.5464420413800339E-2</v>
      </c>
    </row>
    <row r="10" spans="2:17" x14ac:dyDescent="0.25">
      <c r="B10">
        <v>5</v>
      </c>
      <c r="C10">
        <f>C9 + $K$2</f>
        <v>1.2500000000000002</v>
      </c>
      <c r="D10">
        <f t="shared" si="0"/>
        <v>2.084139596647312</v>
      </c>
      <c r="E10">
        <f t="shared" si="1"/>
        <v>0.50928124611829284</v>
      </c>
      <c r="F10">
        <f t="shared" si="2"/>
        <v>2.5464062305914643E-2</v>
      </c>
      <c r="G10">
        <f t="shared" si="3"/>
        <v>1.2750000000000001</v>
      </c>
      <c r="H10">
        <f t="shared" si="4"/>
        <v>2.0968716278002693</v>
      </c>
      <c r="I10">
        <f t="shared" si="5"/>
        <v>0.54257858743920417</v>
      </c>
      <c r="J10">
        <f t="shared" si="6"/>
        <v>2.7128929371960209E-2</v>
      </c>
      <c r="K10">
        <f t="shared" si="7"/>
        <v>2.097704061333292</v>
      </c>
      <c r="L10">
        <f t="shared" si="8"/>
        <v>0.54201207758226955</v>
      </c>
      <c r="M10">
        <f t="shared" si="9"/>
        <v>2.7100603879113477E-2</v>
      </c>
      <c r="N10">
        <f t="shared" si="10"/>
        <v>1.3000000000000003</v>
      </c>
      <c r="O10">
        <f t="shared" si="11"/>
        <v>2.1112402005264252</v>
      </c>
      <c r="P10">
        <f t="shared" si="12"/>
        <v>0.57485826654156935</v>
      </c>
      <c r="Q10">
        <f t="shared" si="13"/>
        <v>2.874291332707847E-2</v>
      </c>
    </row>
    <row r="11" spans="2:17" x14ac:dyDescent="0.25">
      <c r="B11">
        <v>6</v>
      </c>
      <c r="C11">
        <f>C10 + $K$2</f>
        <v>1.3000000000000003</v>
      </c>
      <c r="D11">
        <f t="shared" si="0"/>
        <v>2.1112506036698355</v>
      </c>
      <c r="E11">
        <f t="shared" si="1"/>
        <v>0.5748511029799851</v>
      </c>
      <c r="F11">
        <f t="shared" si="2"/>
        <v>2.8742555148999257E-2</v>
      </c>
      <c r="G11">
        <f t="shared" si="3"/>
        <v>1.3250000000000002</v>
      </c>
      <c r="H11">
        <f t="shared" si="4"/>
        <v>2.125621881244335</v>
      </c>
      <c r="I11">
        <f t="shared" si="5"/>
        <v>0.60721077900686826</v>
      </c>
      <c r="J11">
        <f t="shared" si="6"/>
        <v>3.0360538950343414E-2</v>
      </c>
      <c r="K11">
        <f t="shared" si="7"/>
        <v>2.1264308731450074</v>
      </c>
      <c r="L11">
        <f t="shared" si="8"/>
        <v>0.60664774487687312</v>
      </c>
      <c r="M11">
        <f t="shared" si="9"/>
        <v>3.0332387243843656E-2</v>
      </c>
      <c r="N11">
        <f t="shared" si="10"/>
        <v>1.3500000000000003</v>
      </c>
      <c r="O11">
        <f t="shared" si="11"/>
        <v>2.1415829909136792</v>
      </c>
      <c r="P11">
        <f t="shared" si="12"/>
        <v>0.63853343733123213</v>
      </c>
      <c r="Q11">
        <f t="shared" si="13"/>
        <v>3.1926671866561611E-2</v>
      </c>
    </row>
    <row r="12" spans="2:17" x14ac:dyDescent="0.25">
      <c r="B12">
        <v>7</v>
      </c>
      <c r="C12">
        <f>C11 + $K$2</f>
        <v>1.3500000000000003</v>
      </c>
      <c r="D12">
        <f t="shared" si="0"/>
        <v>2.1415931169038247</v>
      </c>
      <c r="E12">
        <f t="shared" si="1"/>
        <v>0.63852632163240386</v>
      </c>
      <c r="F12">
        <f t="shared" si="2"/>
        <v>3.1926316081620193E-2</v>
      </c>
      <c r="G12">
        <f t="shared" si="3"/>
        <v>1.3750000000000002</v>
      </c>
      <c r="H12">
        <f t="shared" si="4"/>
        <v>2.1575562749446346</v>
      </c>
      <c r="I12">
        <f t="shared" si="5"/>
        <v>0.66990559011681727</v>
      </c>
      <c r="J12">
        <f t="shared" si="6"/>
        <v>3.3495279505840865E-2</v>
      </c>
      <c r="K12">
        <f t="shared" si="7"/>
        <v>2.1583407566567452</v>
      </c>
      <c r="L12">
        <f t="shared" si="8"/>
        <v>0.66934952060868902</v>
      </c>
      <c r="M12">
        <f t="shared" si="9"/>
        <v>3.346747603043445E-2</v>
      </c>
      <c r="N12">
        <f t="shared" si="10"/>
        <v>1.4000000000000004</v>
      </c>
      <c r="O12">
        <f t="shared" si="11"/>
        <v>2.1750605929342592</v>
      </c>
      <c r="P12">
        <f t="shared" si="12"/>
        <v>0.70024063707117867</v>
      </c>
      <c r="Q12">
        <f t="shared" si="13"/>
        <v>3.5012031853558938E-2</v>
      </c>
    </row>
    <row r="13" spans="2:17" x14ac:dyDescent="0.25">
      <c r="B13">
        <v>8</v>
      </c>
      <c r="C13">
        <f>C12 + $K$2</f>
        <v>1.4000000000000004</v>
      </c>
      <c r="D13">
        <f t="shared" si="0"/>
        <v>2.1750704267384462</v>
      </c>
      <c r="E13">
        <f t="shared" si="1"/>
        <v>0.70023361204540258</v>
      </c>
      <c r="F13">
        <f t="shared" si="2"/>
        <v>3.5011680602270133E-2</v>
      </c>
      <c r="G13">
        <f t="shared" si="3"/>
        <v>1.4250000000000003</v>
      </c>
      <c r="H13">
        <f t="shared" si="4"/>
        <v>2.1925762670395814</v>
      </c>
      <c r="I13">
        <f t="shared" si="5"/>
        <v>0.73060682813737021</v>
      </c>
      <c r="J13">
        <f t="shared" si="6"/>
        <v>3.6530341406868512E-2</v>
      </c>
      <c r="K13">
        <f t="shared" si="7"/>
        <v>2.1933355974418807</v>
      </c>
      <c r="L13">
        <f t="shared" si="8"/>
        <v>0.73006061740513994</v>
      </c>
      <c r="M13">
        <f t="shared" si="9"/>
        <v>3.6503030870256997E-2</v>
      </c>
      <c r="N13">
        <f t="shared" si="10"/>
        <v>1.4500000000000004</v>
      </c>
      <c r="O13">
        <f t="shared" si="11"/>
        <v>2.2115734576087034</v>
      </c>
      <c r="P13">
        <f t="shared" si="12"/>
        <v>0.75993890942883846</v>
      </c>
      <c r="Q13">
        <f t="shared" si="13"/>
        <v>3.7996945471441924E-2</v>
      </c>
    </row>
    <row r="14" spans="2:17" x14ac:dyDescent="0.25">
      <c r="B14">
        <v>9</v>
      </c>
      <c r="C14">
        <f>C13 + $K$2</f>
        <v>1.4500000000000004</v>
      </c>
      <c r="D14">
        <f t="shared" si="0"/>
        <v>2.2115829885097735</v>
      </c>
      <c r="E14">
        <f t="shared" si="1"/>
        <v>0.75993201145980638</v>
      </c>
      <c r="F14">
        <f t="shared" si="2"/>
        <v>3.799660057299032E-2</v>
      </c>
      <c r="G14">
        <f t="shared" si="3"/>
        <v>1.4750000000000003</v>
      </c>
      <c r="H14">
        <f t="shared" si="4"/>
        <v>2.2305812887962686</v>
      </c>
      <c r="I14">
        <f t="shared" si="5"/>
        <v>0.78928811105606733</v>
      </c>
      <c r="J14">
        <f t="shared" si="6"/>
        <v>3.9464405552803367E-2</v>
      </c>
      <c r="K14">
        <f t="shared" si="7"/>
        <v>2.2313151912861753</v>
      </c>
      <c r="L14">
        <f t="shared" si="8"/>
        <v>0.78875410791256384</v>
      </c>
      <c r="M14">
        <f t="shared" si="9"/>
        <v>3.9437705395628193E-2</v>
      </c>
      <c r="N14">
        <f t="shared" si="10"/>
        <v>1.5000000000000004</v>
      </c>
      <c r="O14">
        <f t="shared" si="11"/>
        <v>2.2510206939054016</v>
      </c>
      <c r="P14">
        <f t="shared" si="12"/>
        <v>0.81761476480830242</v>
      </c>
      <c r="Q14">
        <f t="shared" si="13"/>
        <v>4.0880738240415125E-2</v>
      </c>
    </row>
    <row r="15" spans="2:17" x14ac:dyDescent="0.25">
      <c r="B15">
        <v>10</v>
      </c>
      <c r="C15">
        <f>C14 + $K$2</f>
        <v>1.5000000000000004</v>
      </c>
      <c r="D15">
        <f t="shared" si="0"/>
        <v>2.2510299152948181</v>
      </c>
      <c r="E15">
        <f t="shared" si="1"/>
        <v>0.8176080240685687</v>
      </c>
      <c r="F15">
        <f t="shared" si="2"/>
        <v>4.0880401203428438E-2</v>
      </c>
      <c r="G15">
        <f t="shared" si="3"/>
        <v>1.5250000000000004</v>
      </c>
      <c r="H15">
        <f t="shared" si="4"/>
        <v>2.2714701158965322</v>
      </c>
      <c r="I15">
        <f t="shared" si="5"/>
        <v>0.84594825815292896</v>
      </c>
      <c r="J15">
        <f t="shared" si="6"/>
        <v>4.2297412907646451E-2</v>
      </c>
      <c r="K15">
        <f t="shared" si="7"/>
        <v>2.2721786217486413</v>
      </c>
      <c r="L15">
        <f t="shared" si="8"/>
        <v>0.84542832127946632</v>
      </c>
      <c r="M15">
        <f t="shared" si="9"/>
        <v>4.2271416063973319E-2</v>
      </c>
      <c r="N15">
        <f t="shared" si="10"/>
        <v>1.5500000000000005</v>
      </c>
      <c r="O15">
        <f t="shared" si="11"/>
        <v>2.2933013313587916</v>
      </c>
      <c r="P15">
        <f t="shared" si="12"/>
        <v>0.87327783784726298</v>
      </c>
      <c r="Q15">
        <f t="shared" si="13"/>
        <v>4.3663891892363152E-2</v>
      </c>
    </row>
    <row r="16" spans="2:17" x14ac:dyDescent="0.25">
      <c r="B16">
        <v>11</v>
      </c>
      <c r="C16">
        <f>C15 + $K$2</f>
        <v>1.5500000000000005</v>
      </c>
      <c r="D16">
        <f t="shared" si="0"/>
        <v>2.2933102404679899</v>
      </c>
      <c r="E16">
        <f t="shared" si="1"/>
        <v>0.87327127864500953</v>
      </c>
      <c r="F16">
        <f t="shared" si="2"/>
        <v>4.3663563932250481E-2</v>
      </c>
      <c r="G16">
        <f t="shared" si="3"/>
        <v>1.5750000000000004</v>
      </c>
      <c r="H16">
        <f t="shared" si="4"/>
        <v>2.3151420224341153</v>
      </c>
      <c r="I16">
        <f t="shared" si="5"/>
        <v>0.90060721607029881</v>
      </c>
      <c r="J16">
        <f t="shared" si="6"/>
        <v>4.5030360803514941E-2</v>
      </c>
      <c r="K16">
        <f t="shared" si="7"/>
        <v>2.3158254208697473</v>
      </c>
      <c r="L16">
        <f t="shared" si="8"/>
        <v>0.90010277078382028</v>
      </c>
      <c r="M16">
        <f t="shared" si="9"/>
        <v>4.5005138539191018E-2</v>
      </c>
      <c r="N16">
        <f t="shared" si="10"/>
        <v>1.6000000000000005</v>
      </c>
      <c r="O16">
        <f t="shared" si="11"/>
        <v>2.3383153790071809</v>
      </c>
      <c r="P16">
        <f t="shared" si="12"/>
        <v>0.92695708421676026</v>
      </c>
      <c r="Q16">
        <f t="shared" si="13"/>
        <v>4.6347854210838015E-2</v>
      </c>
    </row>
    <row r="17" spans="2:17" x14ac:dyDescent="0.25">
      <c r="B17">
        <v>12</v>
      </c>
      <c r="C17">
        <f>C16 + $K$2</f>
        <v>1.6000000000000005</v>
      </c>
      <c r="D17">
        <f t="shared" si="0"/>
        <v>2.3383239766060733</v>
      </c>
      <c r="E17">
        <f t="shared" si="1"/>
        <v>0.92695072542800594</v>
      </c>
      <c r="F17">
        <f t="shared" si="2"/>
        <v>4.63475362714003E-2</v>
      </c>
      <c r="G17">
        <f t="shared" si="3"/>
        <v>1.6250000000000004</v>
      </c>
      <c r="H17">
        <f t="shared" si="4"/>
        <v>2.3614977447417735</v>
      </c>
      <c r="I17">
        <f t="shared" si="5"/>
        <v>0.95330252381089731</v>
      </c>
      <c r="J17">
        <f t="shared" si="6"/>
        <v>4.7665126190544867E-2</v>
      </c>
      <c r="K17">
        <f t="shared" si="7"/>
        <v>2.3621565397013455</v>
      </c>
      <c r="L17">
        <f t="shared" si="8"/>
        <v>0.95281461746771201</v>
      </c>
      <c r="M17">
        <f t="shared" si="9"/>
        <v>4.7640730873385606E-2</v>
      </c>
      <c r="N17">
        <f t="shared" si="10"/>
        <v>1.6500000000000006</v>
      </c>
      <c r="O17">
        <f t="shared" si="11"/>
        <v>2.385964707479459</v>
      </c>
      <c r="P17">
        <f t="shared" si="12"/>
        <v>0.97869750684127343</v>
      </c>
      <c r="Q17">
        <f t="shared" si="13"/>
        <v>4.8934875342063672E-2</v>
      </c>
    </row>
    <row r="18" spans="2:17" x14ac:dyDescent="0.25">
      <c r="B18">
        <v>13</v>
      </c>
      <c r="C18">
        <f>C17 + $K$2</f>
        <v>1.6500000000000006</v>
      </c>
      <c r="D18">
        <f t="shared" si="0"/>
        <v>2.3859729975629609</v>
      </c>
      <c r="E18">
        <f t="shared" si="1"/>
        <v>0.97869136239133669</v>
      </c>
      <c r="F18">
        <f t="shared" si="2"/>
        <v>4.893456811956684E-2</v>
      </c>
      <c r="G18">
        <f t="shared" si="3"/>
        <v>1.6750000000000005</v>
      </c>
      <c r="H18">
        <f t="shared" si="4"/>
        <v>2.4104402816227442</v>
      </c>
      <c r="I18">
        <f t="shared" si="5"/>
        <v>1.0040862949206972</v>
      </c>
      <c r="J18">
        <f t="shared" si="6"/>
        <v>5.0204314746034866E-2</v>
      </c>
      <c r="K18">
        <f t="shared" si="7"/>
        <v>2.4110751549359781</v>
      </c>
      <c r="L18">
        <f t="shared" si="8"/>
        <v>1.0036156491048804</v>
      </c>
      <c r="M18">
        <f t="shared" si="9"/>
        <v>5.0180782455244023E-2</v>
      </c>
      <c r="N18">
        <f t="shared" si="10"/>
        <v>1.7000000000000006</v>
      </c>
      <c r="O18">
        <f t="shared" si="11"/>
        <v>2.4361537800182047</v>
      </c>
      <c r="P18">
        <f t="shared" si="12"/>
        <v>1.0285573813973854</v>
      </c>
      <c r="Q18">
        <f t="shared" si="13"/>
        <v>5.1427869069869271E-2</v>
      </c>
    </row>
    <row r="19" spans="2:17" x14ac:dyDescent="0.25">
      <c r="B19">
        <v>14</v>
      </c>
      <c r="C19">
        <f>C18 + $K$2</f>
        <v>1.7000000000000006</v>
      </c>
      <c r="D19">
        <f t="shared" si="0"/>
        <v>2.43616176949496</v>
      </c>
      <c r="E19">
        <f t="shared" si="1"/>
        <v>1.0285514607647366</v>
      </c>
      <c r="F19">
        <f t="shared" si="2"/>
        <v>5.1427573038236835E-2</v>
      </c>
      <c r="G19">
        <f t="shared" si="3"/>
        <v>1.7250000000000005</v>
      </c>
      <c r="H19">
        <f t="shared" si="4"/>
        <v>2.4618755560140784</v>
      </c>
      <c r="I19">
        <f t="shared" si="5"/>
        <v>1.0530226795121971</v>
      </c>
      <c r="J19">
        <f t="shared" si="6"/>
        <v>5.265113397560986E-2</v>
      </c>
      <c r="K19">
        <f t="shared" si="7"/>
        <v>2.4624873364827651</v>
      </c>
      <c r="L19">
        <f t="shared" si="8"/>
        <v>1.0525697379753454</v>
      </c>
      <c r="M19">
        <f t="shared" si="9"/>
        <v>5.2628486898767271E-2</v>
      </c>
      <c r="N19">
        <f t="shared" si="10"/>
        <v>1.7500000000000007</v>
      </c>
      <c r="O19">
        <f t="shared" si="11"/>
        <v>2.4887902563937274</v>
      </c>
      <c r="P19">
        <f t="shared" si="12"/>
        <v>1.0766059391745499</v>
      </c>
      <c r="Q19">
        <f t="shared" si="13"/>
        <v>5.38302969587275E-2</v>
      </c>
    </row>
    <row r="20" spans="2:17" x14ac:dyDescent="0.25">
      <c r="B20">
        <v>15</v>
      </c>
      <c r="C20">
        <f>C19 + $K$2</f>
        <v>1.7500000000000007</v>
      </c>
      <c r="D20">
        <f t="shared" si="0"/>
        <v>2.4887979547859129</v>
      </c>
      <c r="E20">
        <f t="shared" si="1"/>
        <v>1.0766002478983863</v>
      </c>
      <c r="F20">
        <f t="shared" si="2"/>
        <v>5.3830012394919316E-2</v>
      </c>
      <c r="G20">
        <f t="shared" si="3"/>
        <v>1.7750000000000006</v>
      </c>
      <c r="H20">
        <f t="shared" si="4"/>
        <v>2.5157129609833726</v>
      </c>
      <c r="I20">
        <f t="shared" si="5"/>
        <v>1.1001857605214098</v>
      </c>
      <c r="J20">
        <f t="shared" si="6"/>
        <v>5.5009288026070496E-2</v>
      </c>
      <c r="K20">
        <f t="shared" si="7"/>
        <v>2.5163025987989482</v>
      </c>
      <c r="L20">
        <f t="shared" si="8"/>
        <v>1.0997507324397429</v>
      </c>
      <c r="M20">
        <f t="shared" si="9"/>
        <v>5.4987536621987146E-2</v>
      </c>
      <c r="N20">
        <f t="shared" si="10"/>
        <v>1.8000000000000007</v>
      </c>
      <c r="O20">
        <f t="shared" si="11"/>
        <v>2.5437854914078999</v>
      </c>
      <c r="P20">
        <f t="shared" si="12"/>
        <v>1.1229214599128983</v>
      </c>
      <c r="Q20">
        <f t="shared" si="13"/>
        <v>5.6146072995644919E-2</v>
      </c>
    </row>
    <row r="21" spans="2:17" x14ac:dyDescent="0.25">
      <c r="B21">
        <v>16</v>
      </c>
      <c r="C21">
        <f>C20 + $K$2</f>
        <v>1.8000000000000007</v>
      </c>
      <c r="D21">
        <f t="shared" si="0"/>
        <v>2.5437929105670261</v>
      </c>
      <c r="E21">
        <f t="shared" si="1"/>
        <v>1.122916000092482</v>
      </c>
      <c r="F21">
        <f t="shared" si="2"/>
        <v>5.6145800004624102E-2</v>
      </c>
      <c r="G21">
        <f t="shared" si="3"/>
        <v>1.8250000000000006</v>
      </c>
      <c r="H21">
        <f t="shared" si="4"/>
        <v>2.5718658105693382</v>
      </c>
      <c r="I21">
        <f t="shared" si="5"/>
        <v>1.1456578356564346</v>
      </c>
      <c r="J21">
        <f t="shared" si="6"/>
        <v>5.7282891782821733E-2</v>
      </c>
      <c r="K21">
        <f t="shared" si="7"/>
        <v>2.5724343564584369</v>
      </c>
      <c r="L21">
        <f t="shared" si="8"/>
        <v>1.1452407341894824</v>
      </c>
      <c r="M21">
        <f t="shared" si="9"/>
        <v>5.7262036709474121E-2</v>
      </c>
      <c r="N21">
        <f t="shared" si="10"/>
        <v>1.8500000000000008</v>
      </c>
      <c r="O21">
        <f t="shared" si="11"/>
        <v>2.6010549472765003</v>
      </c>
      <c r="P21">
        <f t="shared" si="12"/>
        <v>1.1675897262429193</v>
      </c>
      <c r="Q21">
        <f t="shared" si="13"/>
        <v>5.837948631214597E-2</v>
      </c>
    </row>
    <row r="22" spans="2:17" x14ac:dyDescent="0.25">
      <c r="B22">
        <v>17</v>
      </c>
      <c r="C22">
        <f>C21 + $K$2</f>
        <v>1.8500000000000008</v>
      </c>
      <c r="D22">
        <f t="shared" si="0"/>
        <v>2.601062101117253</v>
      </c>
      <c r="E22">
        <f t="shared" si="1"/>
        <v>1.1675844970219211</v>
      </c>
      <c r="F22">
        <f t="shared" si="2"/>
        <v>5.8379224851096062E-2</v>
      </c>
      <c r="G22">
        <f t="shared" si="3"/>
        <v>1.8750000000000007</v>
      </c>
      <c r="H22">
        <f t="shared" si="4"/>
        <v>2.6302517135428012</v>
      </c>
      <c r="I22">
        <f t="shared" si="5"/>
        <v>1.1895280372440711</v>
      </c>
      <c r="J22">
        <f t="shared" si="6"/>
        <v>5.9476401862203557E-2</v>
      </c>
      <c r="K22">
        <f t="shared" si="7"/>
        <v>2.6308003020483546</v>
      </c>
      <c r="L22">
        <f t="shared" si="8"/>
        <v>1.1891287136549806</v>
      </c>
      <c r="M22">
        <f t="shared" si="9"/>
        <v>5.9456435682749033E-2</v>
      </c>
      <c r="N22">
        <f t="shared" si="10"/>
        <v>1.9000000000000008</v>
      </c>
      <c r="O22">
        <f t="shared" si="11"/>
        <v>2.6605185368000019</v>
      </c>
      <c r="P22">
        <f t="shared" si="12"/>
        <v>1.2107027933794967</v>
      </c>
      <c r="Q22">
        <f t="shared" si="13"/>
        <v>6.0535139668974836E-2</v>
      </c>
    </row>
    <row r="23" spans="2:17" x14ac:dyDescent="0.25">
      <c r="B23">
        <v>18</v>
      </c>
      <c r="C23">
        <f>C22 + $K$2</f>
        <v>1.9000000000000008</v>
      </c>
      <c r="D23">
        <f t="shared" si="0"/>
        <v>2.6605254410522492</v>
      </c>
      <c r="E23">
        <f t="shared" si="1"/>
        <v>1.2106977914123562</v>
      </c>
      <c r="F23">
        <f t="shared" si="2"/>
        <v>6.0534889570617811E-2</v>
      </c>
      <c r="G23">
        <f t="shared" si="3"/>
        <v>1.9250000000000007</v>
      </c>
      <c r="H23">
        <f t="shared" si="4"/>
        <v>2.690792885837558</v>
      </c>
      <c r="I23">
        <f t="shared" si="5"/>
        <v>1.2318912453297512</v>
      </c>
      <c r="J23">
        <f t="shared" si="6"/>
        <v>6.1594562266487567E-2</v>
      </c>
      <c r="K23">
        <f t="shared" si="7"/>
        <v>2.6913227221854932</v>
      </c>
      <c r="L23">
        <f t="shared" si="8"/>
        <v>1.2315094190956291</v>
      </c>
      <c r="M23">
        <f t="shared" si="9"/>
        <v>6.1575470954781455E-2</v>
      </c>
      <c r="N23">
        <f t="shared" si="10"/>
        <v>1.9500000000000008</v>
      </c>
      <c r="O23">
        <f t="shared" si="11"/>
        <v>2.7221009120070305</v>
      </c>
      <c r="P23">
        <f t="shared" si="12"/>
        <v>1.2523580316475971</v>
      </c>
      <c r="Q23">
        <f t="shared" si="13"/>
        <v>6.2617901582379856E-2</v>
      </c>
    </row>
    <row r="24" spans="2:17" x14ac:dyDescent="0.25">
      <c r="B24">
        <v>19</v>
      </c>
      <c r="C24">
        <f>C23 + $K$2</f>
        <v>1.9500000000000008</v>
      </c>
      <c r="D24">
        <f t="shared" si="0"/>
        <v>2.7221075839848385</v>
      </c>
      <c r="E24">
        <f t="shared" si="1"/>
        <v>1.2523532515475262</v>
      </c>
      <c r="F24">
        <f t="shared" si="2"/>
        <v>6.2617662577376318E-2</v>
      </c>
      <c r="G24">
        <f t="shared" si="3"/>
        <v>1.9750000000000008</v>
      </c>
      <c r="H24">
        <f t="shared" si="4"/>
        <v>2.7534164152735268</v>
      </c>
      <c r="I24">
        <f t="shared" si="5"/>
        <v>1.2728472539706852</v>
      </c>
      <c r="J24">
        <f t="shared" si="6"/>
        <v>6.3642362698534266E-2</v>
      </c>
      <c r="K24">
        <f t="shared" si="7"/>
        <v>2.7539287653341056</v>
      </c>
      <c r="L24">
        <f t="shared" si="8"/>
        <v>1.2724825394022088</v>
      </c>
      <c r="M24">
        <f t="shared" si="9"/>
        <v>6.3624126970110439E-2</v>
      </c>
      <c r="N24">
        <f t="shared" si="10"/>
        <v>2.0000000000000009</v>
      </c>
      <c r="O24">
        <f t="shared" si="11"/>
        <v>2.7857317109549489</v>
      </c>
      <c r="P24">
        <f t="shared" si="12"/>
        <v>1.2926574044122896</v>
      </c>
      <c r="Q24">
        <f t="shared" si="13"/>
        <v>6.463287022061448E-2</v>
      </c>
    </row>
    <row r="25" spans="2:17" x14ac:dyDescent="0.25">
      <c r="B25">
        <v>20</v>
      </c>
      <c r="C25">
        <f>C24 + $K$2</f>
        <v>2.0000000000000009</v>
      </c>
      <c r="D25">
        <f t="shared" si="0"/>
        <v>2.7857381693407186</v>
      </c>
      <c r="E25">
        <f t="shared" si="1"/>
        <v>1.2926528391821566</v>
      </c>
      <c r="F25">
        <f t="shared" si="2"/>
        <v>6.4632641959107826E-2</v>
      </c>
      <c r="G25">
        <f t="shared" si="3"/>
        <v>2.0250000000000008</v>
      </c>
      <c r="H25">
        <f t="shared" si="4"/>
        <v>2.8180544903202724</v>
      </c>
      <c r="I25">
        <f t="shared" si="5"/>
        <v>1.3125001559856784</v>
      </c>
      <c r="J25">
        <f t="shared" si="6"/>
        <v>6.5625007799283916E-2</v>
      </c>
      <c r="K25">
        <f t="shared" si="7"/>
        <v>2.8185506732403605</v>
      </c>
      <c r="L25">
        <f t="shared" si="8"/>
        <v>1.3121520859127063</v>
      </c>
      <c r="M25">
        <f t="shared" si="9"/>
        <v>6.5607604295635322E-2</v>
      </c>
      <c r="N25">
        <f t="shared" si="10"/>
        <v>2.0500000000000007</v>
      </c>
      <c r="O25">
        <f t="shared" si="11"/>
        <v>2.8513457736363539</v>
      </c>
      <c r="P25">
        <f t="shared" si="12"/>
        <v>1.3317069494658926</v>
      </c>
      <c r="Q25">
        <f t="shared" si="13"/>
        <v>6.6585347473294629E-2</v>
      </c>
    </row>
    <row r="26" spans="2:17" x14ac:dyDescent="0.25">
      <c r="B26">
        <v>21</v>
      </c>
      <c r="C26">
        <f>C25 + $K$2</f>
        <v>2.0500000000000007</v>
      </c>
      <c r="D26">
        <f t="shared" si="0"/>
        <v>2.8513520382777586</v>
      </c>
      <c r="E26">
        <f t="shared" si="1"/>
        <v>1.331702590914118</v>
      </c>
      <c r="F26">
        <f t="shared" si="2"/>
        <v>6.6585129545705904E-2</v>
      </c>
      <c r="G26">
        <f t="shared" si="3"/>
        <v>2.0750000000000006</v>
      </c>
      <c r="H26">
        <f t="shared" si="4"/>
        <v>2.8846446030506114</v>
      </c>
      <c r="I26">
        <f t="shared" si="5"/>
        <v>1.3509579170056458</v>
      </c>
      <c r="J26">
        <f t="shared" si="6"/>
        <v>6.75478958502823E-2</v>
      </c>
      <c r="K26">
        <f t="shared" si="7"/>
        <v>2.8851259862028997</v>
      </c>
      <c r="L26">
        <f t="shared" si="8"/>
        <v>1.3506259640887479</v>
      </c>
      <c r="M26">
        <f t="shared" si="9"/>
        <v>6.7531298204437401E-2</v>
      </c>
      <c r="N26">
        <f t="shared" si="10"/>
        <v>2.1000000000000005</v>
      </c>
      <c r="O26">
        <f t="shared" si="11"/>
        <v>2.918883336482196</v>
      </c>
      <c r="P26">
        <f t="shared" si="12"/>
        <v>1.3696164374945305</v>
      </c>
      <c r="Q26">
        <f t="shared" si="13"/>
        <v>6.8480821874726525E-2</v>
      </c>
    </row>
    <row r="27" spans="2:17" x14ac:dyDescent="0.25">
      <c r="B27">
        <v>22</v>
      </c>
      <c r="C27">
        <f>C26 + $K$2</f>
        <v>2.1000000000000005</v>
      </c>
      <c r="D27">
        <f t="shared" si="0"/>
        <v>2.918889428199404</v>
      </c>
      <c r="E27">
        <f t="shared" si="1"/>
        <v>1.3696122766384611</v>
      </c>
      <c r="F27">
        <f t="shared" si="2"/>
        <v>6.8480613831923054E-2</v>
      </c>
      <c r="G27">
        <f t="shared" si="3"/>
        <v>2.1250000000000004</v>
      </c>
      <c r="H27">
        <f t="shared" si="4"/>
        <v>2.9531297351153656</v>
      </c>
      <c r="I27">
        <f t="shared" si="5"/>
        <v>1.3883321151910311</v>
      </c>
      <c r="J27">
        <f t="shared" si="6"/>
        <v>6.9416605759551553E-2</v>
      </c>
      <c r="K27">
        <f t="shared" si="7"/>
        <v>2.9535977310791797</v>
      </c>
      <c r="L27">
        <f t="shared" si="8"/>
        <v>1.38801571140221</v>
      </c>
      <c r="M27">
        <f t="shared" si="9"/>
        <v>6.9400785570110507E-2</v>
      </c>
      <c r="N27">
        <f t="shared" si="10"/>
        <v>2.1500000000000004</v>
      </c>
      <c r="O27">
        <f t="shared" si="11"/>
        <v>2.9882902137695146</v>
      </c>
      <c r="P27">
        <f t="shared" si="12"/>
        <v>1.406499186655116</v>
      </c>
      <c r="Q27">
        <f t="shared" si="13"/>
        <v>7.0324959332755801E-2</v>
      </c>
    </row>
    <row r="28" spans="2:17" x14ac:dyDescent="0.25">
      <c r="B28">
        <v>23</v>
      </c>
      <c r="C28">
        <f>C27 + $K$2</f>
        <v>2.1500000000000004</v>
      </c>
      <c r="D28">
        <f t="shared" si="0"/>
        <v>2.988296154170071</v>
      </c>
      <c r="E28">
        <f t="shared" si="1"/>
        <v>1.4064952141142892</v>
      </c>
      <c r="F28">
        <f t="shared" si="2"/>
        <v>7.0324760705714459E-2</v>
      </c>
      <c r="G28">
        <f t="shared" si="3"/>
        <v>2.1750000000000003</v>
      </c>
      <c r="H28">
        <f t="shared" si="4"/>
        <v>3.0234585345229283</v>
      </c>
      <c r="I28">
        <f t="shared" si="5"/>
        <v>1.4247378282561018</v>
      </c>
      <c r="J28">
        <f t="shared" si="6"/>
        <v>7.1236891412805092E-2</v>
      </c>
      <c r="K28">
        <f t="shared" si="7"/>
        <v>3.0239145998764734</v>
      </c>
      <c r="L28">
        <f t="shared" si="8"/>
        <v>1.4244363830463338</v>
      </c>
      <c r="M28">
        <f t="shared" si="9"/>
        <v>7.1221819152316693E-2</v>
      </c>
      <c r="N28">
        <f t="shared" si="10"/>
        <v>2.2000000000000002</v>
      </c>
      <c r="O28">
        <f t="shared" si="11"/>
        <v>3.0595179733223876</v>
      </c>
      <c r="P28">
        <f t="shared" si="12"/>
        <v>1.4424720173999246</v>
      </c>
      <c r="Q28">
        <f t="shared" si="13"/>
        <v>7.2123600869996238E-2</v>
      </c>
    </row>
    <row r="29" spans="2:17" x14ac:dyDescent="0.25">
      <c r="B29">
        <v>24</v>
      </c>
      <c r="C29">
        <f>C28 + $K$2</f>
        <v>2.2000000000000002</v>
      </c>
      <c r="D29">
        <f t="shared" si="0"/>
        <v>3.0595237846210632</v>
      </c>
      <c r="E29">
        <f t="shared" si="1"/>
        <v>1.4424682237812925</v>
      </c>
      <c r="F29">
        <f t="shared" si="2"/>
        <v>7.2123411189064623E-2</v>
      </c>
      <c r="G29">
        <f t="shared" si="3"/>
        <v>2.2250000000000001</v>
      </c>
      <c r="H29">
        <f t="shared" si="4"/>
        <v>3.0955854902155955</v>
      </c>
      <c r="I29">
        <f t="shared" si="5"/>
        <v>1.4602936543674145</v>
      </c>
      <c r="J29">
        <f t="shared" si="6"/>
        <v>7.3014682718370735E-2</v>
      </c>
      <c r="K29">
        <f t="shared" si="7"/>
        <v>3.0960311259802484</v>
      </c>
      <c r="L29">
        <f t="shared" si="8"/>
        <v>1.4600065720118751</v>
      </c>
      <c r="M29">
        <f t="shared" si="9"/>
        <v>7.3000328600593758E-2</v>
      </c>
      <c r="N29">
        <f t="shared" si="10"/>
        <v>2.25</v>
      </c>
      <c r="O29">
        <f t="shared" si="11"/>
        <v>3.132524113221657</v>
      </c>
      <c r="P29">
        <f t="shared" si="12"/>
        <v>1.4776553364257474</v>
      </c>
      <c r="Q29">
        <f t="shared" si="13"/>
        <v>7.3882766821287374E-2</v>
      </c>
    </row>
    <row r="30" spans="2:17" x14ac:dyDescent="0.25">
      <c r="B30">
        <v>25</v>
      </c>
      <c r="C30">
        <f>C29 + $K$2</f>
        <v>2.25</v>
      </c>
      <c r="D30">
        <f t="shared" si="0"/>
        <v>3.1325298180624435</v>
      </c>
      <c r="E30">
        <f t="shared" si="1"/>
        <v>1.4776517127024291</v>
      </c>
      <c r="F30">
        <f t="shared" si="2"/>
        <v>7.3882585635121456E-2</v>
      </c>
      <c r="G30">
        <f t="shared" si="3"/>
        <v>2.2749999999999999</v>
      </c>
      <c r="H30">
        <f t="shared" si="4"/>
        <v>3.169471110880004</v>
      </c>
      <c r="I30">
        <f t="shared" si="5"/>
        <v>1.4951218580320513</v>
      </c>
      <c r="J30">
        <f t="shared" si="6"/>
        <v>7.4756092901602567E-2</v>
      </c>
      <c r="K30">
        <f t="shared" si="7"/>
        <v>3.1699078645132448</v>
      </c>
      <c r="L30">
        <f t="shared" si="8"/>
        <v>1.4948485546217678</v>
      </c>
      <c r="M30">
        <f t="shared" si="9"/>
        <v>7.4742427731088398E-2</v>
      </c>
      <c r="N30">
        <f t="shared" si="10"/>
        <v>2.2999999999999998</v>
      </c>
      <c r="O30">
        <f t="shared" si="11"/>
        <v>3.2072722457935319</v>
      </c>
      <c r="P30">
        <f t="shared" si="12"/>
        <v>1.512173342989718</v>
      </c>
      <c r="Q30">
        <f t="shared" si="13"/>
        <v>7.56086671494859E-2</v>
      </c>
    </row>
    <row r="31" spans="2:17" x14ac:dyDescent="0.25">
      <c r="B31">
        <v>26</v>
      </c>
      <c r="C31">
        <f>C30 + $K$2</f>
        <v>2.2999999999999998</v>
      </c>
      <c r="D31">
        <f t="shared" si="0"/>
        <v>3.2072778670707751</v>
      </c>
      <c r="E31">
        <f t="shared" si="1"/>
        <v>1.5121698808741746</v>
      </c>
      <c r="F31">
        <f t="shared" si="2"/>
        <v>7.5608494043708729E-2</v>
      </c>
      <c r="G31">
        <f t="shared" si="3"/>
        <v>2.3249999999999997</v>
      </c>
      <c r="H31">
        <f t="shared" si="4"/>
        <v>3.2450821140926296</v>
      </c>
      <c r="I31">
        <f t="shared" si="5"/>
        <v>1.5293486362734912</v>
      </c>
      <c r="J31">
        <f t="shared" si="6"/>
        <v>7.6467431813674561E-2</v>
      </c>
      <c r="K31">
        <f t="shared" si="7"/>
        <v>3.2455115829776124</v>
      </c>
      <c r="L31">
        <f t="shared" si="8"/>
        <v>1.5290885568088082</v>
      </c>
      <c r="M31">
        <f t="shared" si="9"/>
        <v>7.6454427840440417E-2</v>
      </c>
      <c r="N31">
        <f t="shared" si="10"/>
        <v>2.3499999999999996</v>
      </c>
      <c r="O31">
        <f t="shared" si="11"/>
        <v>3.2837322949112155</v>
      </c>
      <c r="P31">
        <f t="shared" si="12"/>
        <v>1.5461543548532526</v>
      </c>
      <c r="Q31">
        <f t="shared" si="13"/>
        <v>7.7307717742662638E-2</v>
      </c>
    </row>
    <row r="32" spans="2:17" x14ac:dyDescent="0.25">
      <c r="B32">
        <v>27</v>
      </c>
      <c r="C32">
        <f>C31 + $K$2</f>
        <v>2.3499999999999996</v>
      </c>
      <c r="D32">
        <f t="shared" si="0"/>
        <v>3.283737855586542</v>
      </c>
      <c r="E32">
        <f t="shared" si="1"/>
        <v>1.5461510471650062</v>
      </c>
      <c r="F32">
        <f t="shared" si="2"/>
        <v>7.730755235825032E-2</v>
      </c>
      <c r="G32">
        <f t="shared" si="3"/>
        <v>2.3749999999999996</v>
      </c>
      <c r="H32">
        <f t="shared" si="4"/>
        <v>3.322391631765667</v>
      </c>
      <c r="I32">
        <f t="shared" si="5"/>
        <v>1.5631045042523151</v>
      </c>
      <c r="J32">
        <f t="shared" si="6"/>
        <v>7.8155225212615753E-2</v>
      </c>
      <c r="K32">
        <f t="shared" si="7"/>
        <v>3.3228154681928497</v>
      </c>
      <c r="L32">
        <f t="shared" si="8"/>
        <v>1.5628571402920803</v>
      </c>
      <c r="M32">
        <f t="shared" si="9"/>
        <v>7.8142857014604022E-2</v>
      </c>
      <c r="N32">
        <f t="shared" si="10"/>
        <v>2.3999999999999995</v>
      </c>
      <c r="O32">
        <f t="shared" si="11"/>
        <v>3.3618807126011458</v>
      </c>
      <c r="P32">
        <f t="shared" si="12"/>
        <v>1.5797312548426332</v>
      </c>
      <c r="Q32">
        <f t="shared" si="13"/>
        <v>7.8986562742131672E-2</v>
      </c>
    </row>
    <row r="33" spans="2:17" x14ac:dyDescent="0.25">
      <c r="B33">
        <v>28</v>
      </c>
      <c r="C33">
        <f>C32 + $K$2</f>
        <v>2.3999999999999995</v>
      </c>
      <c r="D33">
        <f t="shared" si="0"/>
        <v>3.3618862355123458</v>
      </c>
      <c r="E33">
        <f t="shared" si="1"/>
        <v>1.5797280958697355</v>
      </c>
      <c r="F33">
        <f t="shared" si="2"/>
        <v>7.8986404793486786E-2</v>
      </c>
      <c r="G33">
        <f t="shared" si="3"/>
        <v>2.4249999999999994</v>
      </c>
      <c r="H33">
        <f t="shared" si="4"/>
        <v>3.4013794379090894</v>
      </c>
      <c r="I33">
        <f t="shared" si="5"/>
        <v>1.5965248030875112</v>
      </c>
      <c r="J33">
        <f t="shared" si="6"/>
        <v>7.9826240154375561E-2</v>
      </c>
      <c r="K33">
        <f t="shared" si="7"/>
        <v>3.4017993555895334</v>
      </c>
      <c r="L33">
        <f t="shared" si="8"/>
        <v>1.596289711420575</v>
      </c>
      <c r="M33">
        <f t="shared" si="9"/>
        <v>7.9814485571028757E-2</v>
      </c>
      <c r="N33">
        <f t="shared" si="10"/>
        <v>2.4499999999999993</v>
      </c>
      <c r="O33">
        <f t="shared" si="11"/>
        <v>3.4417007210833743</v>
      </c>
      <c r="P33">
        <f t="shared" si="12"/>
        <v>1.6130420625175115</v>
      </c>
      <c r="Q33">
        <f t="shared" si="13"/>
        <v>8.0652103125875577E-2</v>
      </c>
    </row>
    <row r="34" spans="2:17" x14ac:dyDescent="0.25">
      <c r="B34">
        <v>29</v>
      </c>
      <c r="C34">
        <f>C33 + $K$2</f>
        <v>2.4499999999999993</v>
      </c>
      <c r="D34">
        <f t="shared" si="0"/>
        <v>3.4417062287407076</v>
      </c>
      <c r="E34">
        <f t="shared" si="1"/>
        <v>1.6130390483698842</v>
      </c>
      <c r="F34">
        <f t="shared" si="2"/>
        <v>8.065195241849421E-2</v>
      </c>
      <c r="G34">
        <f t="shared" si="3"/>
        <v>2.4749999999999992</v>
      </c>
      <c r="H34">
        <f t="shared" si="4"/>
        <v>3.4820322049499546</v>
      </c>
      <c r="I34">
        <f t="shared" si="5"/>
        <v>1.6297503360442551</v>
      </c>
      <c r="J34">
        <f t="shared" si="6"/>
        <v>8.1487516802212764E-2</v>
      </c>
      <c r="K34">
        <f t="shared" si="7"/>
        <v>3.482449987141814</v>
      </c>
      <c r="L34">
        <f t="shared" si="8"/>
        <v>1.6295271588787092</v>
      </c>
      <c r="M34">
        <f t="shared" si="9"/>
        <v>8.1476357943935471E-2</v>
      </c>
      <c r="N34">
        <f t="shared" si="10"/>
        <v>2.4999999999999991</v>
      </c>
      <c r="O34">
        <f t="shared" si="11"/>
        <v>3.5231825866846429</v>
      </c>
      <c r="P34">
        <f t="shared" si="12"/>
        <v>1.6462306387917907</v>
      </c>
      <c r="Q34">
        <f t="shared" si="13"/>
        <v>8.2311531939589538E-2</v>
      </c>
    </row>
    <row r="35" spans="2:17" x14ac:dyDescent="0.25">
      <c r="B35">
        <v>30</v>
      </c>
      <c r="C35">
        <f>C34 + $K$2</f>
        <v>2.4999999999999991</v>
      </c>
      <c r="D35">
        <f t="shared" si="0"/>
        <v>3.5231881010491044</v>
      </c>
      <c r="E35">
        <f t="shared" si="1"/>
        <v>1.6462277677432073</v>
      </c>
      <c r="F35">
        <f t="shared" si="2"/>
        <v>8.2311388387160372E-2</v>
      </c>
      <c r="G35">
        <f t="shared" si="3"/>
        <v>2.524999999999999</v>
      </c>
      <c r="H35">
        <f t="shared" si="4"/>
        <v>3.5643437952426846</v>
      </c>
      <c r="I35">
        <f t="shared" si="5"/>
        <v>1.6629281425515088</v>
      </c>
      <c r="J35">
        <f t="shared" si="6"/>
        <v>8.3146407127575442E-2</v>
      </c>
      <c r="K35">
        <f t="shared" si="7"/>
        <v>3.5647613046128921</v>
      </c>
      <c r="L35">
        <f t="shared" si="8"/>
        <v>1.6627166297637253</v>
      </c>
      <c r="M35">
        <f t="shared" si="9"/>
        <v>8.3135831488186263E-2</v>
      </c>
      <c r="N35">
        <f t="shared" si="10"/>
        <v>2.5499999999999989</v>
      </c>
      <c r="O35">
        <f t="shared" si="11"/>
        <v>3.6063239325372907</v>
      </c>
      <c r="P35">
        <f t="shared" si="12"/>
        <v>1.6794475346300495</v>
      </c>
      <c r="Q35">
        <f t="shared" si="13"/>
        <v>8.3972376731502485E-2</v>
      </c>
    </row>
    <row r="36" spans="2:17" x14ac:dyDescent="0.25">
      <c r="B36">
        <v>31</v>
      </c>
      <c r="C36">
        <f>C35 + $K$2</f>
        <v>2.5499999999999989</v>
      </c>
      <c r="D36">
        <f t="shared" si="0"/>
        <v>3.6063294747741352</v>
      </c>
      <c r="E36">
        <f t="shared" si="1"/>
        <v>1.6794448074438488</v>
      </c>
      <c r="F36">
        <f t="shared" si="2"/>
        <v>8.3972240372192447E-2</v>
      </c>
      <c r="G36">
        <f t="shared" si="3"/>
        <v>2.5749999999999988</v>
      </c>
      <c r="H36">
        <f t="shared" si="4"/>
        <v>3.6483155949602315</v>
      </c>
      <c r="I36">
        <f t="shared" si="5"/>
        <v>1.6962124227706201</v>
      </c>
      <c r="J36">
        <f t="shared" si="6"/>
        <v>8.4810621138531009E-2</v>
      </c>
      <c r="K36">
        <f t="shared" si="7"/>
        <v>3.6487347853434007</v>
      </c>
      <c r="L36">
        <f t="shared" si="8"/>
        <v>1.6960124568222361</v>
      </c>
      <c r="M36">
        <f t="shared" si="9"/>
        <v>8.4800622841111811E-2</v>
      </c>
      <c r="N36">
        <f t="shared" si="10"/>
        <v>2.5999999999999988</v>
      </c>
      <c r="O36">
        <f t="shared" si="11"/>
        <v>3.6911300976152472</v>
      </c>
      <c r="P36">
        <f t="shared" si="12"/>
        <v>1.7128509982162641</v>
      </c>
      <c r="Q36">
        <f t="shared" si="13"/>
        <v>8.5642549910813215E-2</v>
      </c>
    </row>
    <row r="37" spans="2:17" x14ac:dyDescent="0.25">
      <c r="B37">
        <v>32</v>
      </c>
      <c r="C37">
        <f>C36 + $K$2</f>
        <v>2.5999999999999988</v>
      </c>
      <c r="D37">
        <f t="shared" si="0"/>
        <v>3.691135687814517</v>
      </c>
      <c r="E37">
        <f t="shared" si="1"/>
        <v>1.7128484184476553</v>
      </c>
      <c r="F37">
        <f t="shared" si="2"/>
        <v>8.5642420922382778E-2</v>
      </c>
      <c r="G37">
        <f t="shared" si="3"/>
        <v>2.6249999999999987</v>
      </c>
      <c r="H37">
        <f t="shared" si="4"/>
        <v>3.7339568982757085</v>
      </c>
      <c r="I37">
        <f t="shared" si="5"/>
        <v>1.72976562871813</v>
      </c>
      <c r="J37">
        <f t="shared" si="6"/>
        <v>8.6488281435906506E-2</v>
      </c>
      <c r="K37">
        <f t="shared" si="7"/>
        <v>3.7343798285324703</v>
      </c>
      <c r="L37">
        <f t="shared" si="8"/>
        <v>1.7295772529361817</v>
      </c>
      <c r="M37">
        <f t="shared" si="9"/>
        <v>8.6478862646809096E-2</v>
      </c>
      <c r="N37">
        <f t="shared" si="10"/>
        <v>2.6499999999999986</v>
      </c>
      <c r="O37">
        <f t="shared" si="11"/>
        <v>3.7776145504613261</v>
      </c>
      <c r="P37">
        <f t="shared" si="12"/>
        <v>1.7466081583164663</v>
      </c>
      <c r="Q37">
        <f t="shared" si="13"/>
        <v>8.7330407915823319E-2</v>
      </c>
    </row>
    <row r="38" spans="2:17" x14ac:dyDescent="0.25">
      <c r="B38">
        <v>33</v>
      </c>
      <c r="C38">
        <f>C37 + $K$2</f>
        <v>2.6499999999999986</v>
      </c>
      <c r="D38">
        <f t="shared" si="0"/>
        <v>3.777620207315123</v>
      </c>
      <c r="E38">
        <f t="shared" si="1"/>
        <v>1.7466057325813806</v>
      </c>
      <c r="F38">
        <f t="shared" si="2"/>
        <v>8.733028662906904E-2</v>
      </c>
      <c r="G38">
        <f t="shared" si="3"/>
        <v>2.6749999999999985</v>
      </c>
      <c r="H38">
        <f t="shared" si="4"/>
        <v>3.8212853506296574</v>
      </c>
      <c r="I38">
        <f t="shared" si="5"/>
        <v>1.763759741299024</v>
      </c>
      <c r="J38">
        <f t="shared" si="6"/>
        <v>8.8187987064951207E-2</v>
      </c>
      <c r="K38">
        <f t="shared" si="7"/>
        <v>3.8217142008475986</v>
      </c>
      <c r="L38">
        <f t="shared" si="8"/>
        <v>1.7635831923239025</v>
      </c>
      <c r="M38">
        <f t="shared" si="9"/>
        <v>8.817915961619513E-2</v>
      </c>
      <c r="N38">
        <f t="shared" si="10"/>
        <v>2.6999999999999984</v>
      </c>
      <c r="O38">
        <f t="shared" si="11"/>
        <v>3.8657993669313182</v>
      </c>
      <c r="P38">
        <f t="shared" si="12"/>
        <v>1.7808964049676863</v>
      </c>
      <c r="Q38">
        <f t="shared" si="13"/>
        <v>8.9044820248384324E-2</v>
      </c>
    </row>
    <row r="39" spans="2:17" x14ac:dyDescent="0.25">
      <c r="B39">
        <v>34</v>
      </c>
      <c r="C39">
        <f>C38 + $K$2</f>
        <v>2.6999999999999984</v>
      </c>
      <c r="D39">
        <f t="shared" si="0"/>
        <v>3.8658051073550808</v>
      </c>
      <c r="E39">
        <f t="shared" si="1"/>
        <v>1.7808941431642147</v>
      </c>
      <c r="F39">
        <f t="shared" si="2"/>
        <v>8.9044707158210737E-2</v>
      </c>
      <c r="G39">
        <f t="shared" si="3"/>
        <v>2.7249999999999983</v>
      </c>
      <c r="H39">
        <f t="shared" si="4"/>
        <v>3.910327460934186</v>
      </c>
      <c r="I39">
        <f t="shared" si="5"/>
        <v>1.7983777560497156</v>
      </c>
      <c r="J39">
        <f t="shared" si="6"/>
        <v>8.9918887802485789E-2</v>
      </c>
      <c r="K39">
        <f t="shared" si="7"/>
        <v>3.9107645512563236</v>
      </c>
      <c r="L39">
        <f t="shared" si="8"/>
        <v>1.7982135013885343</v>
      </c>
      <c r="M39">
        <f t="shared" si="9"/>
        <v>8.9910675069426724E-2</v>
      </c>
      <c r="N39">
        <f t="shared" si="10"/>
        <v>2.7499999999999982</v>
      </c>
      <c r="O39">
        <f t="shared" si="11"/>
        <v>3.9557157824245075</v>
      </c>
      <c r="P39">
        <f t="shared" si="12"/>
        <v>1.8159049921214931</v>
      </c>
      <c r="Q39">
        <f t="shared" si="13"/>
        <v>9.0795249606074657E-2</v>
      </c>
    </row>
    <row r="40" spans="2:17" x14ac:dyDescent="0.25">
      <c r="B40">
        <v>35</v>
      </c>
      <c r="C40">
        <f>C39 + $K$2</f>
        <v>2.7499999999999982</v>
      </c>
      <c r="D40">
        <f t="shared" si="0"/>
        <v>3.9557216211064326</v>
      </c>
      <c r="E40">
        <f t="shared" si="1"/>
        <v>1.8159029075847346</v>
      </c>
      <c r="F40">
        <f t="shared" si="2"/>
        <v>9.0795145379236733E-2</v>
      </c>
      <c r="G40">
        <f t="shared" si="3"/>
        <v>2.7749999999999981</v>
      </c>
      <c r="H40">
        <f t="shared" si="4"/>
        <v>4.0011191937960513</v>
      </c>
      <c r="I40">
        <f t="shared" si="5"/>
        <v>1.8338154038987091</v>
      </c>
      <c r="J40">
        <f t="shared" si="6"/>
        <v>9.1690770194935461E-2</v>
      </c>
      <c r="K40">
        <f t="shared" si="7"/>
        <v>4.0015670062039002</v>
      </c>
      <c r="L40">
        <f t="shared" si="8"/>
        <v>1.8336641856782774</v>
      </c>
      <c r="M40">
        <f t="shared" si="9"/>
        <v>9.168320928391388E-2</v>
      </c>
      <c r="N40">
        <f t="shared" si="10"/>
        <v>2.799999999999998</v>
      </c>
      <c r="O40">
        <f t="shared" si="11"/>
        <v>4.047404830390346</v>
      </c>
      <c r="P40">
        <f t="shared" si="12"/>
        <v>1.8518368903969775</v>
      </c>
      <c r="Q40">
        <f t="shared" si="13"/>
        <v>9.2591844519848879E-2</v>
      </c>
    </row>
    <row r="41" spans="2:17" x14ac:dyDescent="0.25">
      <c r="B41">
        <v>36</v>
      </c>
      <c r="C41">
        <f>C40 + $K$2</f>
        <v>2.799999999999998</v>
      </c>
      <c r="D41">
        <f t="shared" si="0"/>
        <v>4.0474107792492298</v>
      </c>
      <c r="E41">
        <f t="shared" si="1"/>
        <v>1.8518349999611439</v>
      </c>
      <c r="F41">
        <f t="shared" si="2"/>
        <v>9.2591749998057193E-2</v>
      </c>
      <c r="G41">
        <f t="shared" si="3"/>
        <v>2.824999999999998</v>
      </c>
      <c r="H41">
        <f t="shared" si="4"/>
        <v>4.0937066542482583</v>
      </c>
      <c r="I41">
        <f t="shared" si="5"/>
        <v>1.8702831367359301</v>
      </c>
      <c r="J41">
        <f t="shared" si="6"/>
        <v>9.3514156836796508E-2</v>
      </c>
      <c r="K41">
        <f t="shared" si="7"/>
        <v>4.0941678576676281</v>
      </c>
      <c r="L41">
        <f t="shared" si="8"/>
        <v>1.8701460229284457</v>
      </c>
      <c r="M41">
        <f t="shared" si="9"/>
        <v>9.3507301146422292E-2</v>
      </c>
      <c r="N41">
        <f t="shared" si="10"/>
        <v>2.8499999999999979</v>
      </c>
      <c r="O41">
        <f t="shared" si="11"/>
        <v>4.140918080395652</v>
      </c>
      <c r="P41">
        <f t="shared" si="12"/>
        <v>1.8889109215173214</v>
      </c>
      <c r="Q41">
        <f t="shared" si="13"/>
        <v>9.4445546075866083E-2</v>
      </c>
    </row>
    <row r="42" spans="2:17" x14ac:dyDescent="0.25">
      <c r="B42">
        <v>37</v>
      </c>
      <c r="C42">
        <f>C41 + $K$2</f>
        <v>2.8499999999999979</v>
      </c>
      <c r="D42">
        <f t="shared" si="0"/>
        <v>4.1409241479226235</v>
      </c>
      <c r="E42">
        <f t="shared" si="1"/>
        <v>1.8889092454496468</v>
      </c>
      <c r="F42">
        <f t="shared" si="2"/>
        <v>9.444546227248235E-2</v>
      </c>
      <c r="G42">
        <f t="shared" si="3"/>
        <v>2.8749999999999978</v>
      </c>
      <c r="H42">
        <f t="shared" si="4"/>
        <v>4.1881468790588645</v>
      </c>
      <c r="I42">
        <f t="shared" si="5"/>
        <v>1.9080084108461095</v>
      </c>
      <c r="J42">
        <f t="shared" si="6"/>
        <v>9.5400420542305478E-2</v>
      </c>
      <c r="K42">
        <f t="shared" si="7"/>
        <v>4.1886243581937759</v>
      </c>
      <c r="L42">
        <f t="shared" si="8"/>
        <v>1.9078868554375459</v>
      </c>
      <c r="M42">
        <f t="shared" si="9"/>
        <v>9.5394342771877305E-2</v>
      </c>
      <c r="N42">
        <f t="shared" si="10"/>
        <v>2.8999999999999977</v>
      </c>
      <c r="O42">
        <f t="shared" si="11"/>
        <v>4.2363184906945008</v>
      </c>
      <c r="P42">
        <f t="shared" si="12"/>
        <v>1.9273642090520815</v>
      </c>
      <c r="Q42">
        <f t="shared" si="13"/>
        <v>9.6368210452604075E-2</v>
      </c>
    </row>
    <row r="43" spans="2:17" x14ac:dyDescent="0.25">
      <c r="B43">
        <v>38</v>
      </c>
      <c r="C43">
        <f>C42 + $K$2</f>
        <v>2.8999999999999977</v>
      </c>
      <c r="D43">
        <f t="shared" si="0"/>
        <v>4.2363246811481989</v>
      </c>
      <c r="E43">
        <f t="shared" si="1"/>
        <v>1.9273627708107797</v>
      </c>
      <c r="F43">
        <f t="shared" si="2"/>
        <v>9.6368138540538995E-2</v>
      </c>
      <c r="G43">
        <f t="shared" si="3"/>
        <v>2.9249999999999976</v>
      </c>
      <c r="H43">
        <f t="shared" si="4"/>
        <v>4.2845087504184685</v>
      </c>
      <c r="I43">
        <f t="shared" si="5"/>
        <v>1.9472383039597543</v>
      </c>
      <c r="J43">
        <f t="shared" si="6"/>
        <v>9.7361915197987717E-2</v>
      </c>
      <c r="K43">
        <f t="shared" si="7"/>
        <v>4.2850056387471929</v>
      </c>
      <c r="L43">
        <f t="shared" si="8"/>
        <v>1.9471342177362869</v>
      </c>
      <c r="M43">
        <f t="shared" si="9"/>
        <v>9.7356710886814357E-2</v>
      </c>
      <c r="N43">
        <f t="shared" si="10"/>
        <v>2.9499999999999975</v>
      </c>
      <c r="O43">
        <f t="shared" si="11"/>
        <v>4.3336813920350137</v>
      </c>
      <c r="P43">
        <f t="shared" si="12"/>
        <v>1.967454982308521</v>
      </c>
      <c r="Q43">
        <f t="shared" si="13"/>
        <v>9.8372749115426053E-2</v>
      </c>
    </row>
    <row r="44" spans="2:17" x14ac:dyDescent="0.25">
      <c r="B44">
        <v>39</v>
      </c>
      <c r="C44">
        <f>C43 + $K$2</f>
        <v>2.9499999999999975</v>
      </c>
      <c r="D44">
        <f t="shared" si="0"/>
        <v>4.3336877044524602</v>
      </c>
      <c r="E44">
        <f t="shared" si="1"/>
        <v>1.9674538080608519</v>
      </c>
      <c r="F44">
        <f t="shared" si="2"/>
        <v>9.8372690403042598E-2</v>
      </c>
      <c r="G44">
        <f t="shared" si="3"/>
        <v>2.9749999999999974</v>
      </c>
      <c r="H44">
        <f t="shared" si="4"/>
        <v>4.3828740496539815</v>
      </c>
      <c r="I44">
        <f t="shared" si="5"/>
        <v>1.9882425032262865</v>
      </c>
      <c r="J44">
        <f t="shared" si="6"/>
        <v>9.9412125161314327E-2</v>
      </c>
      <c r="K44">
        <f t="shared" si="7"/>
        <v>4.3833937670331178</v>
      </c>
      <c r="L44">
        <f t="shared" si="8"/>
        <v>1.9881583370500553</v>
      </c>
      <c r="M44">
        <f t="shared" si="9"/>
        <v>9.9407916852502776E-2</v>
      </c>
      <c r="N44">
        <f t="shared" si="10"/>
        <v>2.9999999999999973</v>
      </c>
      <c r="O44">
        <f t="shared" si="11"/>
        <v>4.4330956213049628</v>
      </c>
      <c r="P44">
        <f t="shared" si="12"/>
        <v>2.0094657708663028</v>
      </c>
      <c r="Q44">
        <f t="shared" si="13"/>
        <v>0.10047328854331515</v>
      </c>
    </row>
    <row r="45" spans="2:17" x14ac:dyDescent="0.25">
      <c r="B45">
        <v>40</v>
      </c>
      <c r="C45">
        <f>C44 + $K$2</f>
        <v>2.9999999999999973</v>
      </c>
      <c r="D45">
        <f t="shared" si="0"/>
        <v>4.4331020482814587</v>
      </c>
      <c r="E45">
        <f t="shared" si="1"/>
        <v>2.0094648886817286</v>
      </c>
      <c r="F45">
        <f t="shared" si="2"/>
        <v>0.10047324443408644</v>
      </c>
      <c r="G45">
        <f t="shared" si="3"/>
        <v>3.0249999999999972</v>
      </c>
      <c r="H45">
        <f t="shared" si="4"/>
        <v>4.4833386704985019</v>
      </c>
      <c r="I45">
        <f t="shared" si="5"/>
        <v>2.0313167008868764</v>
      </c>
      <c r="J45">
        <f t="shared" si="6"/>
        <v>0.10156583504434383</v>
      </c>
      <c r="K45">
        <f t="shared" si="7"/>
        <v>4.4838849658036306</v>
      </c>
      <c r="L45">
        <f t="shared" si="8"/>
        <v>2.0312555434872186</v>
      </c>
      <c r="M45">
        <f t="shared" si="9"/>
        <v>0.10156277717436094</v>
      </c>
      <c r="N45">
        <f t="shared" si="10"/>
        <v>3.0499999999999972</v>
      </c>
      <c r="O45">
        <f t="shared" si="11"/>
        <v>4.5346648254558195</v>
      </c>
      <c r="P45">
        <f t="shared" si="12"/>
        <v>2.0537070251554148</v>
      </c>
      <c r="Q45">
        <f t="shared" si="13"/>
        <v>0.10268535125777074</v>
      </c>
    </row>
    <row r="46" spans="2:17" x14ac:dyDescent="0.25">
      <c r="B46">
        <v>41</v>
      </c>
      <c r="C46">
        <f>C45 + $K$2</f>
        <v>3.0499999999999972</v>
      </c>
      <c r="D46">
        <f t="shared" si="0"/>
        <v>4.5346713516363364</v>
      </c>
      <c r="E46">
        <f t="shared" si="1"/>
        <v>2.053706463761662</v>
      </c>
      <c r="F46">
        <f t="shared" si="2"/>
        <v>0.1026853231880831</v>
      </c>
      <c r="G46">
        <f t="shared" si="3"/>
        <v>3.0749999999999971</v>
      </c>
      <c r="H46">
        <f t="shared" si="4"/>
        <v>4.5860140132303782</v>
      </c>
      <c r="I46">
        <f t="shared" si="5"/>
        <v>2.0767864303651242</v>
      </c>
      <c r="J46">
        <f t="shared" si="6"/>
        <v>0.10383932151825621</v>
      </c>
      <c r="K46">
        <f t="shared" si="7"/>
        <v>4.5865910123954645</v>
      </c>
      <c r="L46">
        <f t="shared" si="8"/>
        <v>2.0767521227316896</v>
      </c>
      <c r="M46">
        <f t="shared" si="9"/>
        <v>0.10383760613658449</v>
      </c>
      <c r="N46">
        <f t="shared" si="10"/>
        <v>3.099999999999997</v>
      </c>
      <c r="O46">
        <f t="shared" si="11"/>
        <v>4.6385089577729213</v>
      </c>
      <c r="P46">
        <f t="shared" si="12"/>
        <v>2.1005211918193987</v>
      </c>
      <c r="Q46">
        <f t="shared" si="13"/>
        <v>0.10502605959096994</v>
      </c>
    </row>
    <row r="47" spans="2:17" x14ac:dyDescent="0.25">
      <c r="B47">
        <v>42</v>
      </c>
      <c r="C47">
        <f>C46 + $K$2</f>
        <v>3.099999999999997</v>
      </c>
      <c r="D47">
        <f t="shared" si="0"/>
        <v>4.6385155579844586</v>
      </c>
      <c r="E47">
        <f t="shared" si="1"/>
        <v>2.100520978774727</v>
      </c>
      <c r="F47">
        <f t="shared" si="2"/>
        <v>0.10502604893873635</v>
      </c>
      <c r="G47">
        <f t="shared" si="3"/>
        <v>3.1249999999999969</v>
      </c>
      <c r="H47">
        <f t="shared" si="4"/>
        <v>4.6910285824538267</v>
      </c>
      <c r="I47">
        <f t="shared" si="5"/>
        <v>2.1250113656715177</v>
      </c>
      <c r="J47">
        <f t="shared" si="6"/>
        <v>0.10625056828357589</v>
      </c>
      <c r="K47">
        <f t="shared" si="7"/>
        <v>4.6916408421262465</v>
      </c>
      <c r="L47">
        <f t="shared" si="8"/>
        <v>2.1250086340139882</v>
      </c>
      <c r="M47">
        <f t="shared" si="9"/>
        <v>0.10625043170069942</v>
      </c>
      <c r="N47">
        <f t="shared" si="10"/>
        <v>3.1499999999999968</v>
      </c>
      <c r="O47">
        <f t="shared" si="11"/>
        <v>4.7447659896851579</v>
      </c>
      <c r="P47">
        <f t="shared" si="12"/>
        <v>2.150287258615561</v>
      </c>
      <c r="Q47">
        <f t="shared" si="13"/>
        <v>0.10751436293077805</v>
      </c>
    </row>
    <row r="48" spans="2:17" x14ac:dyDescent="0.25">
      <c r="B48">
        <v>43</v>
      </c>
      <c r="C48">
        <f>C47 + $K$2</f>
        <v>3.1499999999999968</v>
      </c>
      <c r="D48">
        <f t="shared" si="0"/>
        <v>4.7447726266241359</v>
      </c>
      <c r="E48">
        <f t="shared" si="1"/>
        <v>2.1502874177075357</v>
      </c>
      <c r="F48">
        <f t="shared" si="2"/>
        <v>0.1075143708853768</v>
      </c>
      <c r="G48">
        <f t="shared" si="3"/>
        <v>3.1749999999999967</v>
      </c>
      <c r="H48">
        <f t="shared" si="4"/>
        <v>4.7985298120668247</v>
      </c>
      <c r="I48">
        <f t="shared" si="5"/>
        <v>2.1763900880575546</v>
      </c>
      <c r="J48">
        <f t="shared" si="6"/>
        <v>0.10881950440287774</v>
      </c>
      <c r="K48">
        <f t="shared" si="7"/>
        <v>4.7991823788255745</v>
      </c>
      <c r="L48">
        <f t="shared" si="8"/>
        <v>2.1764246968536041</v>
      </c>
      <c r="M48">
        <f t="shared" si="9"/>
        <v>0.10882123484268021</v>
      </c>
      <c r="N48">
        <f t="shared" si="10"/>
        <v>3.1999999999999966</v>
      </c>
      <c r="O48">
        <f t="shared" si="11"/>
        <v>4.8535938614668162</v>
      </c>
      <c r="P48">
        <f t="shared" si="12"/>
        <v>2.2034257581152756</v>
      </c>
      <c r="Q48">
        <f t="shared" si="13"/>
        <v>0.11017128790576379</v>
      </c>
    </row>
    <row r="49" spans="2:17" x14ac:dyDescent="0.25">
      <c r="B49">
        <v>44</v>
      </c>
      <c r="C49">
        <f>C48 + $K$2</f>
        <v>3.1999999999999966</v>
      </c>
      <c r="D49">
        <f t="shared" si="0"/>
        <v>4.8536004828378454</v>
      </c>
      <c r="E49">
        <f t="shared" si="1"/>
        <v>2.2034263057441379</v>
      </c>
      <c r="F49">
        <f t="shared" si="2"/>
        <v>0.1101713152872069</v>
      </c>
      <c r="G49">
        <f t="shared" si="3"/>
        <v>3.2249999999999965</v>
      </c>
      <c r="H49">
        <f t="shared" si="4"/>
        <v>4.908686140481449</v>
      </c>
      <c r="I49">
        <f t="shared" si="5"/>
        <v>2.2313652907103014</v>
      </c>
      <c r="J49">
        <f t="shared" si="6"/>
        <v>0.11156826453551508</v>
      </c>
      <c r="K49">
        <f t="shared" si="7"/>
        <v>4.9093846151056031</v>
      </c>
      <c r="L49">
        <f t="shared" si="8"/>
        <v>2.2314442163811901</v>
      </c>
      <c r="M49">
        <f t="shared" si="9"/>
        <v>0.11157221081905951</v>
      </c>
      <c r="N49">
        <f t="shared" si="10"/>
        <v>3.2499999999999964</v>
      </c>
      <c r="O49">
        <f t="shared" si="11"/>
        <v>4.9651726936569052</v>
      </c>
      <c r="P49">
        <f t="shared" si="12"/>
        <v>2.2604041762845535</v>
      </c>
      <c r="Q49">
        <f t="shared" si="13"/>
        <v>0.11302020881422768</v>
      </c>
    </row>
    <row r="50" spans="2:17" x14ac:dyDescent="0.25">
      <c r="B50">
        <v>45</v>
      </c>
      <c r="C50">
        <f>C49 + $K$2</f>
        <v>3.2499999999999964</v>
      </c>
      <c r="D50">
        <f t="shared" si="0"/>
        <v>4.9651792286396095</v>
      </c>
      <c r="E50">
        <f t="shared" si="1"/>
        <v>2.2604051165283661</v>
      </c>
      <c r="F50">
        <f t="shared" si="2"/>
        <v>0.11302025582641831</v>
      </c>
      <c r="G50">
        <f t="shared" si="3"/>
        <v>3.2749999999999964</v>
      </c>
      <c r="H50">
        <f t="shared" si="4"/>
        <v>5.0216893565528187</v>
      </c>
      <c r="I50">
        <f t="shared" si="5"/>
        <v>2.2904293374831037</v>
      </c>
      <c r="J50">
        <f t="shared" si="6"/>
        <v>0.11452146687415519</v>
      </c>
      <c r="K50">
        <f t="shared" si="7"/>
        <v>5.0224399620766871</v>
      </c>
      <c r="L50">
        <f t="shared" si="8"/>
        <v>2.2905609613812699</v>
      </c>
      <c r="M50">
        <f t="shared" si="9"/>
        <v>0.1145280480690635</v>
      </c>
      <c r="N50">
        <f t="shared" si="10"/>
        <v>3.2999999999999963</v>
      </c>
      <c r="O50">
        <f t="shared" si="11"/>
        <v>5.0797072767086728</v>
      </c>
      <c r="P50">
        <f t="shared" si="12"/>
        <v>2.3217426420358129</v>
      </c>
      <c r="Q50">
        <f t="shared" si="13"/>
        <v>0.11608713210179065</v>
      </c>
    </row>
    <row r="51" spans="2:17" x14ac:dyDescent="0.25">
      <c r="B51">
        <v>46</v>
      </c>
      <c r="C51">
        <f>C50 + $K$2</f>
        <v>3.2999999999999963</v>
      </c>
      <c r="D51">
        <f t="shared" si="0"/>
        <v>5.0797136316087173</v>
      </c>
      <c r="E51">
        <f t="shared" si="1"/>
        <v>2.321743960027848</v>
      </c>
      <c r="F51">
        <f t="shared" si="2"/>
        <v>0.1160871980013924</v>
      </c>
      <c r="G51">
        <f t="shared" si="3"/>
        <v>3.3249999999999962</v>
      </c>
      <c r="H51">
        <f t="shared" si="4"/>
        <v>5.137757230609413</v>
      </c>
      <c r="I51">
        <f t="shared" si="5"/>
        <v>2.3541300043026205</v>
      </c>
      <c r="J51">
        <f t="shared" si="6"/>
        <v>0.11770650021513103</v>
      </c>
      <c r="K51">
        <f t="shared" si="7"/>
        <v>5.1385668817162831</v>
      </c>
      <c r="L51">
        <f t="shared" si="8"/>
        <v>2.3543243204673301</v>
      </c>
      <c r="M51">
        <f t="shared" si="9"/>
        <v>0.11771621602336652</v>
      </c>
      <c r="N51">
        <f t="shared" si="10"/>
        <v>3.3499999999999961</v>
      </c>
      <c r="O51">
        <f t="shared" si="11"/>
        <v>5.1974298476320842</v>
      </c>
      <c r="P51">
        <f t="shared" si="12"/>
        <v>2.3880196638170359</v>
      </c>
      <c r="Q51">
        <f t="shared" si="13"/>
        <v>0.11940098319085179</v>
      </c>
    </row>
    <row r="52" spans="2:17" x14ac:dyDescent="0.25">
      <c r="B52">
        <v>47</v>
      </c>
      <c r="C52">
        <f>C51 + $K$2</f>
        <v>3.3499999999999961</v>
      </c>
      <c r="D52">
        <f t="shared" si="0"/>
        <v>5.1974359005535904</v>
      </c>
      <c r="E52">
        <f t="shared" si="1"/>
        <v>2.3880213170008058</v>
      </c>
      <c r="F52">
        <f t="shared" si="2"/>
        <v>0.11940106585004029</v>
      </c>
      <c r="G52">
        <f t="shared" si="3"/>
        <v>3.374999999999996</v>
      </c>
      <c r="H52">
        <f t="shared" si="4"/>
        <v>5.2571364334786104</v>
      </c>
      <c r="I52">
        <f t="shared" si="5"/>
        <v>2.4230760962506417</v>
      </c>
      <c r="J52">
        <f t="shared" si="6"/>
        <v>0.12115380481253209</v>
      </c>
      <c r="K52">
        <f t="shared" si="7"/>
        <v>5.2580128029598567</v>
      </c>
      <c r="L52">
        <f t="shared" si="8"/>
        <v>2.4233449240525586</v>
      </c>
      <c r="M52">
        <f t="shared" si="9"/>
        <v>0.12116724620262793</v>
      </c>
      <c r="N52">
        <f t="shared" si="10"/>
        <v>3.3999999999999959</v>
      </c>
      <c r="O52">
        <f t="shared" si="11"/>
        <v>5.3186031467562183</v>
      </c>
      <c r="P52">
        <f t="shared" si="12"/>
        <v>2.4598775103375252</v>
      </c>
      <c r="Q52">
        <f t="shared" si="13"/>
        <v>0.12299387551687627</v>
      </c>
    </row>
    <row r="53" spans="2:17" x14ac:dyDescent="0.25">
      <c r="B53">
        <v>48</v>
      </c>
      <c r="C53">
        <f>C52 + $K$2</f>
        <v>3.3999999999999959</v>
      </c>
      <c r="D53">
        <f t="shared" si="0"/>
        <v>5.3186087411197969</v>
      </c>
      <c r="E53">
        <f t="shared" si="1"/>
        <v>2.4598794171170542</v>
      </c>
      <c r="F53">
        <f t="shared" si="2"/>
        <v>0.12299397085585272</v>
      </c>
      <c r="G53">
        <f t="shared" si="3"/>
        <v>3.4249999999999958</v>
      </c>
      <c r="H53">
        <f t="shared" si="4"/>
        <v>5.3801057265477228</v>
      </c>
      <c r="I53">
        <f t="shared" si="5"/>
        <v>2.4979424271231405</v>
      </c>
      <c r="J53">
        <f t="shared" si="6"/>
        <v>0.12489712135615703</v>
      </c>
      <c r="K53">
        <f t="shared" si="7"/>
        <v>5.3810573017978758</v>
      </c>
      <c r="L53">
        <f t="shared" si="8"/>
        <v>2.498299610433703</v>
      </c>
      <c r="M53">
        <f t="shared" si="9"/>
        <v>0.12491498052168515</v>
      </c>
      <c r="N53">
        <f t="shared" si="10"/>
        <v>3.4499999999999957</v>
      </c>
      <c r="O53">
        <f t="shared" si="11"/>
        <v>5.4435237216414816</v>
      </c>
      <c r="P53">
        <f t="shared" si="12"/>
        <v>2.5380265781545397</v>
      </c>
      <c r="Q53">
        <f t="shared" si="13"/>
        <v>0.12690132890772698</v>
      </c>
    </row>
    <row r="54" spans="2:17" x14ac:dyDescent="0.25">
      <c r="B54">
        <v>49</v>
      </c>
      <c r="C54">
        <f>C53 + $K$2</f>
        <v>3.4499999999999957</v>
      </c>
      <c r="D54">
        <f t="shared" si="0"/>
        <v>5.4435286583730074</v>
      </c>
      <c r="E54">
        <f t="shared" si="1"/>
        <v>2.5380286034562434</v>
      </c>
      <c r="F54">
        <f t="shared" si="2"/>
        <v>0.12690143017281216</v>
      </c>
      <c r="G54">
        <f t="shared" si="3"/>
        <v>3.4749999999999956</v>
      </c>
      <c r="H54">
        <f t="shared" si="4"/>
        <v>5.506979373459413</v>
      </c>
      <c r="I54">
        <f t="shared" si="5"/>
        <v>2.5794733407363224</v>
      </c>
      <c r="J54">
        <f t="shared" si="6"/>
        <v>0.12897366703681612</v>
      </c>
      <c r="K54">
        <f t="shared" si="7"/>
        <v>5.508015491891415</v>
      </c>
      <c r="L54">
        <f t="shared" si="8"/>
        <v>2.5799349022006366</v>
      </c>
      <c r="M54">
        <f t="shared" si="9"/>
        <v>0.12899674511003184</v>
      </c>
      <c r="N54">
        <f t="shared" si="10"/>
        <v>3.4999999999999956</v>
      </c>
      <c r="O54">
        <f t="shared" si="11"/>
        <v>5.5725254034830396</v>
      </c>
      <c r="P54">
        <f t="shared" si="12"/>
        <v>2.6232477130757497</v>
      </c>
      <c r="Q54">
        <f t="shared" si="13"/>
        <v>0.13116238565378749</v>
      </c>
    </row>
    <row r="55" spans="2:17" x14ac:dyDescent="0.25">
      <c r="B55">
        <v>50</v>
      </c>
      <c r="C55">
        <f>C54 + $K$2</f>
        <v>3.4999999999999956</v>
      </c>
      <c r="D55">
        <f t="shared" si="0"/>
        <v>5.57252943172639</v>
      </c>
      <c r="E55">
        <f t="shared" si="1"/>
        <v>2.6232496504351981</v>
      </c>
      <c r="F55">
        <f t="shared" si="2"/>
        <v>0.13116248252175991</v>
      </c>
      <c r="G55">
        <f t="shared" si="3"/>
        <v>3.5249999999999955</v>
      </c>
      <c r="H55">
        <f t="shared" si="4"/>
        <v>5.6381106729872696</v>
      </c>
      <c r="I55">
        <f t="shared" si="5"/>
        <v>2.6684835032764695</v>
      </c>
      <c r="J55">
        <f t="shared" si="6"/>
        <v>0.13342417516382349</v>
      </c>
      <c r="K55">
        <f t="shared" si="7"/>
        <v>5.6392415193083014</v>
      </c>
      <c r="L55">
        <f t="shared" si="8"/>
        <v>2.6690677028193233</v>
      </c>
      <c r="M55">
        <f t="shared" si="9"/>
        <v>0.13345338514096616</v>
      </c>
      <c r="N55">
        <f t="shared" si="10"/>
        <v>3.5499999999999954</v>
      </c>
      <c r="O55">
        <f t="shared" si="11"/>
        <v>5.7059828168673565</v>
      </c>
      <c r="P55">
        <f t="shared" si="12"/>
        <v>2.7163909083128339</v>
      </c>
      <c r="Q55">
        <f t="shared" si="13"/>
        <v>0.1358195454156417</v>
      </c>
    </row>
    <row r="56" spans="2:17" x14ac:dyDescent="0.25">
      <c r="B56">
        <v>51</v>
      </c>
      <c r="C56">
        <f>C55 + $K$2</f>
        <v>3.5499999999999954</v>
      </c>
      <c r="D56">
        <f t="shared" si="0"/>
        <v>5.7059856231508865</v>
      </c>
      <c r="E56">
        <f t="shared" si="1"/>
        <v>2.7163924583804397</v>
      </c>
      <c r="F56">
        <f t="shared" si="2"/>
        <v>0.135819622919022</v>
      </c>
      <c r="G56">
        <f t="shared" si="3"/>
        <v>3.5749999999999953</v>
      </c>
      <c r="H56">
        <f t="shared" si="4"/>
        <v>5.7738954346103979</v>
      </c>
      <c r="I56">
        <f t="shared" si="5"/>
        <v>2.765854051555638</v>
      </c>
      <c r="J56">
        <f t="shared" si="6"/>
        <v>0.1382927025777819</v>
      </c>
      <c r="K56">
        <f t="shared" si="7"/>
        <v>5.7751319744397778</v>
      </c>
      <c r="L56">
        <f t="shared" si="8"/>
        <v>2.7665812703263342</v>
      </c>
      <c r="M56">
        <f t="shared" si="9"/>
        <v>0.13832906351631671</v>
      </c>
      <c r="N56">
        <f t="shared" si="10"/>
        <v>3.5999999999999952</v>
      </c>
      <c r="O56">
        <f t="shared" si="11"/>
        <v>5.8443146866672029</v>
      </c>
      <c r="P56">
        <f t="shared" si="12"/>
        <v>2.8183680331923799</v>
      </c>
      <c r="Q56">
        <f t="shared" si="13"/>
        <v>0.140918401659619</v>
      </c>
    </row>
    <row r="57" spans="2:17" x14ac:dyDescent="0.25">
      <c r="B57">
        <v>52</v>
      </c>
      <c r="C57">
        <f>C56 + $K$2</f>
        <v>3.5999999999999952</v>
      </c>
      <c r="D57">
        <f t="shared" si="0"/>
        <v>5.8443158826120261</v>
      </c>
      <c r="E57">
        <f t="shared" si="1"/>
        <v>2.8183687791514487</v>
      </c>
      <c r="F57">
        <f t="shared" si="2"/>
        <v>0.14091843895757244</v>
      </c>
      <c r="G57">
        <f t="shared" si="3"/>
        <v>3.6249999999999951</v>
      </c>
      <c r="H57">
        <f t="shared" si="4"/>
        <v>5.9147751020908119</v>
      </c>
      <c r="I57">
        <f t="shared" si="5"/>
        <v>2.8725212830886604</v>
      </c>
      <c r="J57">
        <f t="shared" si="6"/>
        <v>0.14362606415443302</v>
      </c>
      <c r="K57">
        <f t="shared" si="7"/>
        <v>5.9161289146892422</v>
      </c>
      <c r="L57">
        <f t="shared" si="8"/>
        <v>2.87341361579506</v>
      </c>
      <c r="M57">
        <f t="shared" si="9"/>
        <v>0.14367068078975301</v>
      </c>
      <c r="N57">
        <f t="shared" si="10"/>
        <v>3.649999999999995</v>
      </c>
      <c r="O57">
        <f t="shared" si="11"/>
        <v>5.9879865634017788</v>
      </c>
      <c r="P57">
        <f t="shared" si="12"/>
        <v>2.9301361915206234</v>
      </c>
      <c r="Q57">
        <f t="shared" si="13"/>
        <v>0.14650680957603118</v>
      </c>
    </row>
    <row r="58" spans="2:17" x14ac:dyDescent="0.25">
      <c r="B58">
        <v>53</v>
      </c>
      <c r="C58">
        <f>C57 + $K$2</f>
        <v>3.649999999999995</v>
      </c>
      <c r="D58">
        <f t="shared" si="0"/>
        <v>5.9879856723490219</v>
      </c>
      <c r="E58">
        <f t="shared" si="1"/>
        <v>2.9301355730275267</v>
      </c>
      <c r="F58">
        <f t="shared" si="2"/>
        <v>0.14650677865137635</v>
      </c>
      <c r="G58">
        <f t="shared" si="3"/>
        <v>3.6749999999999949</v>
      </c>
      <c r="H58">
        <f t="shared" si="4"/>
        <v>6.0612390616747103</v>
      </c>
      <c r="I58">
        <f t="shared" si="5"/>
        <v>2.9894538632581309</v>
      </c>
      <c r="J58">
        <f t="shared" si="6"/>
        <v>0.14947269316290654</v>
      </c>
      <c r="K58">
        <f t="shared" si="7"/>
        <v>6.0627220189304749</v>
      </c>
      <c r="L58">
        <f t="shared" si="8"/>
        <v>2.9905342528383541</v>
      </c>
      <c r="M58">
        <f t="shared" si="9"/>
        <v>0.14952671264191772</v>
      </c>
      <c r="N58">
        <f t="shared" si="10"/>
        <v>3.6999999999999948</v>
      </c>
      <c r="O58">
        <f t="shared" si="11"/>
        <v>6.1375123849909397</v>
      </c>
      <c r="P58">
        <f t="shared" si="12"/>
        <v>3.0526669225130512</v>
      </c>
      <c r="Q58">
        <f t="shared" si="13"/>
        <v>0.15263334612565257</v>
      </c>
    </row>
    <row r="59" spans="2:17" x14ac:dyDescent="0.25">
      <c r="B59">
        <v>54</v>
      </c>
      <c r="C59">
        <f>C58 + $K$2</f>
        <v>3.6999999999999948</v>
      </c>
      <c r="D59">
        <f t="shared" si="0"/>
        <v>6.137508828413468</v>
      </c>
      <c r="E59">
        <f t="shared" si="1"/>
        <v>3.0526642116680232</v>
      </c>
      <c r="F59">
        <f t="shared" si="2"/>
        <v>0.15263321058340118</v>
      </c>
      <c r="G59">
        <f t="shared" si="3"/>
        <v>3.7249999999999948</v>
      </c>
      <c r="H59">
        <f t="shared" si="4"/>
        <v>6.2138254337051686</v>
      </c>
      <c r="I59">
        <f t="shared" si="5"/>
        <v>3.1176129752660433</v>
      </c>
      <c r="J59">
        <f t="shared" si="6"/>
        <v>0.15588064876330218</v>
      </c>
      <c r="K59">
        <f t="shared" si="7"/>
        <v>6.2154491527951192</v>
      </c>
      <c r="L59">
        <f t="shared" si="8"/>
        <v>3.1189036676751138</v>
      </c>
      <c r="M59">
        <f t="shared" si="9"/>
        <v>0.15594518338375571</v>
      </c>
      <c r="N59">
        <f t="shared" si="10"/>
        <v>3.7499999999999947</v>
      </c>
      <c r="O59">
        <f t="shared" si="11"/>
        <v>6.2934540117972233</v>
      </c>
      <c r="P59">
        <f t="shared" si="12"/>
        <v>3.1868947490837929</v>
      </c>
      <c r="Q59">
        <f t="shared" si="13"/>
        <v>0.15934473745418964</v>
      </c>
    </row>
    <row r="60" spans="2:17" x14ac:dyDescent="0.25">
      <c r="B60">
        <v>55</v>
      </c>
      <c r="C60">
        <f>C59 + $K$2</f>
        <v>3.7499999999999947</v>
      </c>
      <c r="D60">
        <f t="shared" si="0"/>
        <v>6.2934470971354193</v>
      </c>
      <c r="E60">
        <f t="shared" si="1"/>
        <v>3.1868890349231709</v>
      </c>
      <c r="F60">
        <f t="shared" si="2"/>
        <v>0.15934445174615855</v>
      </c>
      <c r="G60">
        <f t="shared" si="3"/>
        <v>3.7749999999999946</v>
      </c>
      <c r="H60">
        <f t="shared" si="4"/>
        <v>6.3731193230084981</v>
      </c>
      <c r="I60">
        <f t="shared" si="5"/>
        <v>3.2578880098157552</v>
      </c>
      <c r="J60">
        <f t="shared" si="6"/>
        <v>0.16289440049078777</v>
      </c>
      <c r="K60">
        <f t="shared" si="7"/>
        <v>6.3748942973808136</v>
      </c>
      <c r="L60">
        <f t="shared" si="8"/>
        <v>3.259408055672981</v>
      </c>
      <c r="M60">
        <f t="shared" si="9"/>
        <v>0.16297040278364905</v>
      </c>
      <c r="N60">
        <f t="shared" si="10"/>
        <v>3.7999999999999945</v>
      </c>
      <c r="O60">
        <f t="shared" si="11"/>
        <v>6.456417499919068</v>
      </c>
      <c r="P60">
        <f t="shared" si="12"/>
        <v>3.3336366936387423</v>
      </c>
      <c r="Q60">
        <f t="shared" si="13"/>
        <v>0.16668183468193712</v>
      </c>
    </row>
    <row r="61" spans="2:17" x14ac:dyDescent="0.25">
      <c r="B61">
        <v>56</v>
      </c>
      <c r="C61">
        <f>C60 + $K$2</f>
        <v>3.7999999999999945</v>
      </c>
      <c r="D61">
        <f t="shared" si="0"/>
        <v>6.4564064126315808</v>
      </c>
      <c r="E61">
        <f t="shared" si="1"/>
        <v>3.3336268859274307</v>
      </c>
      <c r="F61">
        <f t="shared" si="2"/>
        <v>0.16668134429637155</v>
      </c>
      <c r="G61">
        <f t="shared" si="3"/>
        <v>3.8249999999999944</v>
      </c>
      <c r="H61">
        <f t="shared" si="4"/>
        <v>6.5397470847797665</v>
      </c>
      <c r="I61">
        <f t="shared" si="5"/>
        <v>3.4109985367485129</v>
      </c>
      <c r="J61">
        <f t="shared" si="6"/>
        <v>0.17054992683742565</v>
      </c>
      <c r="K61">
        <f t="shared" si="7"/>
        <v>6.5416813760502937</v>
      </c>
      <c r="L61">
        <f t="shared" si="8"/>
        <v>3.4127600494772952</v>
      </c>
      <c r="M61">
        <f t="shared" si="9"/>
        <v>0.17063800247386476</v>
      </c>
      <c r="N61">
        <f t="shared" si="10"/>
        <v>3.8499999999999943</v>
      </c>
      <c r="O61">
        <f t="shared" si="11"/>
        <v>6.6270444151054457</v>
      </c>
      <c r="P61">
        <f t="shared" si="12"/>
        <v>3.4934727430995012</v>
      </c>
      <c r="Q61">
        <f t="shared" si="13"/>
        <v>0.17467363715497508</v>
      </c>
    </row>
    <row r="62" spans="2:17" x14ac:dyDescent="0.25">
      <c r="B62">
        <v>57</v>
      </c>
      <c r="C62">
        <f>C61 + $K$2</f>
        <v>3.8499999999999943</v>
      </c>
      <c r="D62">
        <f t="shared" si="0"/>
        <v>6.627028219310569</v>
      </c>
      <c r="E62">
        <f t="shared" si="1"/>
        <v>3.4934576116593115</v>
      </c>
      <c r="F62">
        <f t="shared" si="2"/>
        <v>0.1746728805829656</v>
      </c>
      <c r="G62">
        <f t="shared" si="3"/>
        <v>3.8749999999999942</v>
      </c>
      <c r="H62">
        <f t="shared" si="4"/>
        <v>6.7143646596020519</v>
      </c>
      <c r="I62">
        <f t="shared" si="5"/>
        <v>3.5773520446200955</v>
      </c>
      <c r="J62">
        <f t="shared" si="6"/>
        <v>0.17886760223100479</v>
      </c>
      <c r="K62">
        <f t="shared" si="7"/>
        <v>6.7164620204260714</v>
      </c>
      <c r="L62">
        <f t="shared" si="8"/>
        <v>3.5793549972325516</v>
      </c>
      <c r="M62">
        <f t="shared" si="9"/>
        <v>0.17896774986162758</v>
      </c>
      <c r="N62">
        <f t="shared" si="10"/>
        <v>3.8999999999999941</v>
      </c>
      <c r="O62">
        <f t="shared" si="11"/>
        <v>6.805995969172197</v>
      </c>
      <c r="P62">
        <f t="shared" si="12"/>
        <v>3.6665767718184643</v>
      </c>
      <c r="Q62">
        <f t="shared" si="13"/>
        <v>0.18332883859092322</v>
      </c>
    </row>
    <row r="63" spans="2:17" x14ac:dyDescent="0.25">
      <c r="B63">
        <v>58</v>
      </c>
      <c r="C63">
        <f>C62 + $K$2</f>
        <v>3.8999999999999941</v>
      </c>
      <c r="D63">
        <f t="shared" si="0"/>
        <v>6.8059736232037613</v>
      </c>
      <c r="E63">
        <f t="shared" si="1"/>
        <v>3.6665550432104488</v>
      </c>
      <c r="F63">
        <f t="shared" si="2"/>
        <v>0.18332775216052244</v>
      </c>
      <c r="G63">
        <f t="shared" si="3"/>
        <v>3.924999999999994</v>
      </c>
      <c r="H63">
        <f t="shared" si="4"/>
        <v>6.8976374992840226</v>
      </c>
      <c r="I63">
        <f t="shared" si="5"/>
        <v>3.756847527094028</v>
      </c>
      <c r="J63">
        <f t="shared" si="6"/>
        <v>0.18784237635470141</v>
      </c>
      <c r="K63">
        <f t="shared" si="7"/>
        <v>6.8998948113811123</v>
      </c>
      <c r="L63">
        <f t="shared" si="8"/>
        <v>3.7590731238374606</v>
      </c>
      <c r="M63">
        <f t="shared" si="9"/>
        <v>0.18795365619187304</v>
      </c>
      <c r="N63">
        <f t="shared" si="10"/>
        <v>3.949999999999994</v>
      </c>
      <c r="O63">
        <f t="shared" si="11"/>
        <v>6.993927279395634</v>
      </c>
      <c r="P63">
        <f t="shared" si="12"/>
        <v>3.8524898157139202</v>
      </c>
      <c r="Q63">
        <f t="shared" si="13"/>
        <v>0.19262449078569602</v>
      </c>
    </row>
    <row r="64" spans="2:17" x14ac:dyDescent="0.25">
      <c r="B64">
        <v>59</v>
      </c>
      <c r="C64">
        <f>C63 + $K$2</f>
        <v>3.949999999999994</v>
      </c>
      <c r="D64">
        <f t="shared" si="0"/>
        <v>6.9938976745436561</v>
      </c>
      <c r="E64">
        <f t="shared" si="1"/>
        <v>3.8524603519857972</v>
      </c>
      <c r="F64">
        <f t="shared" si="2"/>
        <v>0.19262301759928988</v>
      </c>
      <c r="G64">
        <f t="shared" si="3"/>
        <v>3.9749999999999939</v>
      </c>
      <c r="H64">
        <f t="shared" si="4"/>
        <v>7.0902091833433012</v>
      </c>
      <c r="I64">
        <f t="shared" si="5"/>
        <v>3.9486195905142956</v>
      </c>
      <c r="J64">
        <f t="shared" si="6"/>
        <v>0.19743097952571478</v>
      </c>
      <c r="K64">
        <f t="shared" si="7"/>
        <v>7.0926131643065133</v>
      </c>
      <c r="L64">
        <f t="shared" si="8"/>
        <v>3.9510228087486094</v>
      </c>
      <c r="M64">
        <f t="shared" si="9"/>
        <v>0.19755114043743049</v>
      </c>
      <c r="N64">
        <f t="shared" si="10"/>
        <v>3.9999999999999938</v>
      </c>
      <c r="O64">
        <f t="shared" si="11"/>
        <v>7.1914488149810865</v>
      </c>
      <c r="P64">
        <f t="shared" si="12"/>
        <v>4.0498355099062495</v>
      </c>
      <c r="Q64">
        <f t="shared" si="13"/>
        <v>0.2024917754953125</v>
      </c>
    </row>
    <row r="65" spans="2:17" x14ac:dyDescent="0.25">
      <c r="B65">
        <v>60</v>
      </c>
      <c r="C65">
        <f>C64 + $K$2</f>
        <v>3.9999999999999938</v>
      </c>
      <c r="D65">
        <f t="shared" si="0"/>
        <v>7.1914108467138051</v>
      </c>
      <c r="E65">
        <f t="shared" si="1"/>
        <v>4.0497975887809448</v>
      </c>
      <c r="F65">
        <f t="shared" si="2"/>
        <v>0.20248987943904725</v>
      </c>
      <c r="G65">
        <f t="shared" si="3"/>
        <v>4.0249999999999941</v>
      </c>
      <c r="H65">
        <f t="shared" si="4"/>
        <v>7.292655786433329</v>
      </c>
      <c r="I65">
        <f t="shared" si="5"/>
        <v>4.1507295006569418</v>
      </c>
      <c r="J65">
        <f t="shared" si="6"/>
        <v>0.20753647503284711</v>
      </c>
      <c r="K65">
        <f t="shared" si="7"/>
        <v>7.2951790842302291</v>
      </c>
      <c r="L65">
        <f t="shared" si="8"/>
        <v>4.15323237205937</v>
      </c>
      <c r="M65">
        <f t="shared" si="9"/>
        <v>0.2076616186029685</v>
      </c>
      <c r="N65">
        <f t="shared" si="10"/>
        <v>4.0499999999999936</v>
      </c>
      <c r="O65">
        <f t="shared" si="11"/>
        <v>7.3990724653167739</v>
      </c>
      <c r="P65">
        <f t="shared" si="12"/>
        <v>4.2559944184128868</v>
      </c>
      <c r="Q65">
        <f t="shared" si="13"/>
        <v>0.21279972092064436</v>
      </c>
    </row>
    <row r="66" spans="2:17" x14ac:dyDescent="0.25">
      <c r="B66">
        <v>61</v>
      </c>
      <c r="C66">
        <f>C65 + $K$2</f>
        <v>4.0499999999999936</v>
      </c>
      <c r="D66">
        <f t="shared" si="0"/>
        <v>7.3990251446523594</v>
      </c>
      <c r="E66">
        <f t="shared" si="1"/>
        <v>4.2559481123962666</v>
      </c>
      <c r="F66">
        <f t="shared" si="2"/>
        <v>0.21279740561981333</v>
      </c>
      <c r="G66">
        <f t="shared" si="3"/>
        <v>4.074999999999994</v>
      </c>
      <c r="H66">
        <f t="shared" si="4"/>
        <v>7.5054238474622661</v>
      </c>
      <c r="I66">
        <f t="shared" si="5"/>
        <v>4.3598320287257231</v>
      </c>
      <c r="J66">
        <f t="shared" si="6"/>
        <v>0.21799160143628615</v>
      </c>
      <c r="K66">
        <f t="shared" si="7"/>
        <v>7.508020945370502</v>
      </c>
      <c r="L66">
        <f t="shared" si="8"/>
        <v>4.3623205848170894</v>
      </c>
      <c r="M66">
        <f t="shared" si="9"/>
        <v>0.21811602924085449</v>
      </c>
      <c r="N66">
        <f t="shared" si="10"/>
        <v>4.0999999999999934</v>
      </c>
      <c r="O66">
        <f t="shared" si="11"/>
        <v>7.6171411738932138</v>
      </c>
      <c r="P66">
        <f t="shared" si="12"/>
        <v>4.4667828762825241</v>
      </c>
      <c r="Q66">
        <f t="shared" si="13"/>
        <v>0.22333914381412623</v>
      </c>
    </row>
    <row r="67" spans="2:17" x14ac:dyDescent="0.25">
      <c r="B67">
        <v>62</v>
      </c>
      <c r="C67">
        <f>C66 + $K$2</f>
        <v>4.0999999999999934</v>
      </c>
      <c r="D67">
        <f t="shared" si="0"/>
        <v>7.6170837797837292</v>
      </c>
      <c r="E67">
        <f t="shared" si="1"/>
        <v>4.4667294815610834</v>
      </c>
      <c r="F67">
        <f t="shared" si="2"/>
        <v>0.22333647407805418</v>
      </c>
      <c r="G67">
        <f t="shared" si="3"/>
        <v>4.1249999999999938</v>
      </c>
      <c r="H67">
        <f t="shared" si="4"/>
        <v>7.7287520168227566</v>
      </c>
      <c r="I67">
        <f t="shared" si="5"/>
        <v>4.5708819732485697</v>
      </c>
      <c r="J67">
        <f t="shared" si="6"/>
        <v>0.2285440986624285</v>
      </c>
      <c r="K67">
        <f t="shared" si="7"/>
        <v>7.7313558291149436</v>
      </c>
      <c r="L67">
        <f t="shared" si="8"/>
        <v>4.5732111100496455</v>
      </c>
      <c r="M67">
        <f t="shared" si="9"/>
        <v>0.22866055550248229</v>
      </c>
      <c r="N67">
        <f t="shared" si="10"/>
        <v>4.1499999999999932</v>
      </c>
      <c r="O67">
        <f t="shared" si="11"/>
        <v>7.8457443352862111</v>
      </c>
      <c r="P67">
        <f t="shared" si="12"/>
        <v>4.6762221245843065</v>
      </c>
      <c r="Q67">
        <f t="shared" si="13"/>
        <v>0.23381110622921533</v>
      </c>
    </row>
    <row r="68" spans="2:17" x14ac:dyDescent="0.25">
      <c r="B68">
        <v>63</v>
      </c>
      <c r="C68">
        <f>C67 + $K$2</f>
        <v>4.1499999999999932</v>
      </c>
      <c r="D68">
        <f t="shared" si="0"/>
        <v>7.8456765945565774</v>
      </c>
      <c r="E68">
        <f t="shared" si="1"/>
        <v>4.6761645202405981</v>
      </c>
      <c r="F68">
        <f t="shared" si="2"/>
        <v>0.23380822601202991</v>
      </c>
      <c r="G68">
        <f t="shared" si="3"/>
        <v>4.1749999999999936</v>
      </c>
      <c r="H68">
        <f t="shared" si="4"/>
        <v>7.9625807075625925</v>
      </c>
      <c r="I68">
        <f t="shared" si="5"/>
        <v>4.7769876986248034</v>
      </c>
      <c r="J68">
        <f t="shared" si="6"/>
        <v>0.23884938493124019</v>
      </c>
      <c r="K68">
        <f t="shared" si="7"/>
        <v>7.9651012870221978</v>
      </c>
      <c r="L68">
        <f t="shared" si="8"/>
        <v>4.7789984803941055</v>
      </c>
      <c r="M68">
        <f t="shared" si="9"/>
        <v>0.23894992401970527</v>
      </c>
      <c r="N68">
        <f t="shared" si="10"/>
        <v>4.1999999999999931</v>
      </c>
      <c r="O68">
        <f t="shared" si="11"/>
        <v>8.0846265185762825</v>
      </c>
      <c r="P68">
        <f t="shared" si="12"/>
        <v>4.8765252189110528</v>
      </c>
      <c r="Q68">
        <f t="shared" si="13"/>
        <v>0.24382626094555265</v>
      </c>
    </row>
    <row r="69" spans="2:17" x14ac:dyDescent="0.25">
      <c r="B69">
        <v>64</v>
      </c>
      <c r="C69">
        <f>C68 + $K$2</f>
        <v>4.1999999999999931</v>
      </c>
      <c r="D69">
        <f t="shared" si="0"/>
        <v>8.0845487786998227</v>
      </c>
      <c r="E69">
        <f t="shared" si="1"/>
        <v>4.8764679677086056</v>
      </c>
      <c r="F69">
        <f t="shared" si="2"/>
        <v>0.2438233983854303</v>
      </c>
      <c r="G69">
        <f t="shared" si="3"/>
        <v>4.2249999999999934</v>
      </c>
      <c r="H69">
        <f t="shared" si="4"/>
        <v>8.2064604778925379</v>
      </c>
      <c r="I69">
        <f t="shared" si="5"/>
        <v>4.9695548911021046</v>
      </c>
      <c r="J69">
        <f t="shared" si="6"/>
        <v>0.24847774455510524</v>
      </c>
      <c r="K69">
        <f t="shared" si="7"/>
        <v>8.2087876509773761</v>
      </c>
      <c r="L69">
        <f t="shared" si="8"/>
        <v>4.971106404103832</v>
      </c>
      <c r="M69">
        <f t="shared" si="9"/>
        <v>0.24855532020519161</v>
      </c>
      <c r="N69">
        <f t="shared" si="10"/>
        <v>4.2499999999999929</v>
      </c>
      <c r="O69">
        <f t="shared" si="11"/>
        <v>8.3331040989050145</v>
      </c>
      <c r="P69">
        <f t="shared" si="12"/>
        <v>5.0584486099933947</v>
      </c>
      <c r="Q69">
        <f t="shared" si="13"/>
        <v>0.25292243049966973</v>
      </c>
    </row>
    <row r="70" spans="2:17" x14ac:dyDescent="0.25">
      <c r="B70">
        <v>65</v>
      </c>
      <c r="C70">
        <f>C69 + $K$2</f>
        <v>4.2499999999999929</v>
      </c>
      <c r="D70">
        <f t="shared" si="0"/>
        <v>8.3330174384341049</v>
      </c>
      <c r="E70">
        <f t="shared" si="1"/>
        <v>5.0583976014841028</v>
      </c>
      <c r="F70">
        <f t="shared" si="2"/>
        <v>0.25291988007420513</v>
      </c>
      <c r="G70">
        <f t="shared" si="3"/>
        <v>4.2749999999999932</v>
      </c>
      <c r="H70">
        <f t="shared" si="4"/>
        <v>8.4594773784712078</v>
      </c>
      <c r="I70">
        <f t="shared" si="5"/>
        <v>5.1388609430842438</v>
      </c>
      <c r="J70">
        <f t="shared" si="6"/>
        <v>0.25694304715421218</v>
      </c>
      <c r="K70">
        <f t="shared" si="7"/>
        <v>8.4614889620112113</v>
      </c>
      <c r="L70">
        <f t="shared" si="8"/>
        <v>5.1398724903001245</v>
      </c>
      <c r="M70">
        <f t="shared" si="9"/>
        <v>0.25699362451500624</v>
      </c>
      <c r="N70">
        <f t="shared" si="10"/>
        <v>4.2999999999999927</v>
      </c>
      <c r="O70">
        <f t="shared" si="11"/>
        <v>8.5900110629491113</v>
      </c>
      <c r="P70">
        <f t="shared" si="12"/>
        <v>5.2121167390096872</v>
      </c>
      <c r="Q70">
        <f t="shared" si="13"/>
        <v>0.26060583695048439</v>
      </c>
    </row>
    <row r="71" spans="2:17" x14ac:dyDescent="0.25">
      <c r="B71">
        <v>66</v>
      </c>
      <c r="C71">
        <f>C70 + $K$2</f>
        <v>4.2999999999999927</v>
      </c>
      <c r="D71">
        <f t="shared" ref="D71:D85" si="14">D70 + (F70 + 2*J70 + 2*M70 + Q70)/6</f>
        <v>8.5899172818279599</v>
      </c>
      <c r="E71">
        <f t="shared" ref="E71:E85" si="15">SIN(C71 - D71) + C71</f>
        <v>5.212078291252344</v>
      </c>
      <c r="F71">
        <f t="shared" ref="F71:F85" si="16">$K$2 * E71</f>
        <v>0.26060391456261722</v>
      </c>
      <c r="G71">
        <f t="shared" ref="G71:G85" si="17">C71 + $K$2 / 2</f>
        <v>4.3249999999999931</v>
      </c>
      <c r="H71">
        <f t="shared" ref="H71:H85" si="18">D71 + F71 / 2</f>
        <v>8.7202192391092677</v>
      </c>
      <c r="I71">
        <f t="shared" ref="I71:I85" si="19">SIN(G71 - H71) + G71</f>
        <v>5.2751219197881847</v>
      </c>
      <c r="J71">
        <f t="shared" ref="J71:J85" si="20">$K$2 * I71</f>
        <v>0.26375609598940924</v>
      </c>
      <c r="K71">
        <f t="shared" ref="K71:K85" si="21">D71 + J71/2</f>
        <v>8.7217953298226654</v>
      </c>
      <c r="L71">
        <f t="shared" ref="L71:L85" si="22">SIN(G71 - K71) + G71</f>
        <v>5.2756122886622876</v>
      </c>
      <c r="M71">
        <f t="shared" ref="M71:M85" si="23" xml:space="preserve"> $K$2 * L71</f>
        <v>0.2637806144331144</v>
      </c>
      <c r="N71">
        <f t="shared" ref="N71:N85" si="24">C71 + $K$2</f>
        <v>4.3499999999999925</v>
      </c>
      <c r="O71">
        <f t="shared" ref="O71:O85" si="25">D71 + M71</f>
        <v>8.8536978962610746</v>
      </c>
      <c r="P71">
        <f t="shared" ref="P71:P85" si="26">SIN(N71 - O71) + N71</f>
        <v>5.3283029333078478</v>
      </c>
      <c r="Q71">
        <f t="shared" ref="Q71:Q85" si="27">$K$2 * P71</f>
        <v>0.2664151466653924</v>
      </c>
    </row>
    <row r="72" spans="2:17" x14ac:dyDescent="0.25">
      <c r="B72">
        <v>67</v>
      </c>
      <c r="C72">
        <f>C71 + $K$2</f>
        <v>4.3499999999999925</v>
      </c>
      <c r="D72">
        <f t="shared" si="14"/>
        <v>8.853599362173469</v>
      </c>
      <c r="E72">
        <f t="shared" si="15"/>
        <v>5.3282825143096684</v>
      </c>
      <c r="F72">
        <f t="shared" si="16"/>
        <v>0.26641412571548345</v>
      </c>
      <c r="G72">
        <f t="shared" si="17"/>
        <v>4.3749999999999929</v>
      </c>
      <c r="H72">
        <f t="shared" si="18"/>
        <v>8.9868064250312099</v>
      </c>
      <c r="I72">
        <f t="shared" si="19"/>
        <v>5.3699458379523399</v>
      </c>
      <c r="J72">
        <f t="shared" si="20"/>
        <v>0.26849729189761701</v>
      </c>
      <c r="K72">
        <f t="shared" si="21"/>
        <v>8.9878480081222776</v>
      </c>
      <c r="L72">
        <f t="shared" si="22"/>
        <v>5.3700498867568864</v>
      </c>
      <c r="M72">
        <f t="shared" si="23"/>
        <v>0.26850249433784434</v>
      </c>
      <c r="N72">
        <f t="shared" si="24"/>
        <v>4.3999999999999924</v>
      </c>
      <c r="O72">
        <f t="shared" si="25"/>
        <v>9.1221018565113141</v>
      </c>
      <c r="P72">
        <f t="shared" si="26"/>
        <v>5.3999528303895001</v>
      </c>
      <c r="Q72">
        <f t="shared" si="27"/>
        <v>0.26999764151947503</v>
      </c>
    </row>
    <row r="73" spans="2:17" x14ac:dyDescent="0.25">
      <c r="B73">
        <v>68</v>
      </c>
      <c r="C73">
        <f>C72 + $K$2</f>
        <v>4.3999999999999924</v>
      </c>
      <c r="D73">
        <f t="shared" si="14"/>
        <v>9.1220012521244485</v>
      </c>
      <c r="E73">
        <f t="shared" si="15"/>
        <v>5.3999538024716989</v>
      </c>
      <c r="F73">
        <f t="shared" si="16"/>
        <v>0.26999769012358493</v>
      </c>
      <c r="G73">
        <f t="shared" si="17"/>
        <v>4.4249999999999927</v>
      </c>
      <c r="H73">
        <f t="shared" si="18"/>
        <v>9.257000097186241</v>
      </c>
      <c r="I73">
        <f t="shared" si="19"/>
        <v>5.4178551148474536</v>
      </c>
      <c r="J73">
        <f t="shared" si="20"/>
        <v>0.2708927557423727</v>
      </c>
      <c r="K73">
        <f t="shared" si="21"/>
        <v>9.2574476299956352</v>
      </c>
      <c r="L73">
        <f t="shared" si="22"/>
        <v>5.4178016130719593</v>
      </c>
      <c r="M73">
        <f t="shared" si="23"/>
        <v>0.27089008065359799</v>
      </c>
      <c r="N73">
        <f t="shared" si="24"/>
        <v>4.4499999999999922</v>
      </c>
      <c r="O73">
        <f t="shared" si="25"/>
        <v>9.3928913327780457</v>
      </c>
      <c r="P73">
        <f t="shared" si="26"/>
        <v>5.4235517470993893</v>
      </c>
      <c r="Q73">
        <f t="shared" si="27"/>
        <v>0.2711775873549695</v>
      </c>
    </row>
    <row r="74" spans="2:17" x14ac:dyDescent="0.25">
      <c r="B74">
        <v>69</v>
      </c>
      <c r="C74">
        <f>C73 + $K$2</f>
        <v>4.4499999999999922</v>
      </c>
      <c r="D74">
        <f t="shared" si="14"/>
        <v>9.3927914105028645</v>
      </c>
      <c r="E74">
        <f t="shared" si="15"/>
        <v>5.4235745711434689</v>
      </c>
      <c r="F74">
        <f t="shared" si="16"/>
        <v>0.27117872855717345</v>
      </c>
      <c r="G74">
        <f t="shared" si="17"/>
        <v>4.4749999999999925</v>
      </c>
      <c r="H74">
        <f t="shared" si="18"/>
        <v>9.5283807747814517</v>
      </c>
      <c r="I74">
        <f t="shared" si="19"/>
        <v>5.4174234512800199</v>
      </c>
      <c r="J74">
        <f t="shared" si="20"/>
        <v>0.27087117256400101</v>
      </c>
      <c r="K74">
        <f t="shared" si="21"/>
        <v>9.5282269967848645</v>
      </c>
      <c r="L74">
        <f t="shared" si="22"/>
        <v>5.4174748668737447</v>
      </c>
      <c r="M74">
        <f t="shared" si="23"/>
        <v>0.27087374334368725</v>
      </c>
      <c r="N74">
        <f t="shared" si="24"/>
        <v>4.499999999999992</v>
      </c>
      <c r="O74">
        <f t="shared" si="25"/>
        <v>9.6636651538465514</v>
      </c>
      <c r="P74">
        <f t="shared" si="26"/>
        <v>5.3998912777894832</v>
      </c>
      <c r="Q74">
        <f t="shared" si="27"/>
        <v>0.26999456388947418</v>
      </c>
    </row>
    <row r="75" spans="2:17" x14ac:dyDescent="0.25">
      <c r="B75">
        <v>70</v>
      </c>
      <c r="C75">
        <f>C74 + $K$2</f>
        <v>4.499999999999992</v>
      </c>
      <c r="D75">
        <f t="shared" si="14"/>
        <v>9.663568597879868</v>
      </c>
      <c r="E75">
        <f t="shared" si="15"/>
        <v>5.3999333830329785</v>
      </c>
      <c r="F75">
        <f t="shared" si="16"/>
        <v>0.26999666915164894</v>
      </c>
      <c r="G75">
        <f t="shared" si="17"/>
        <v>4.5249999999999924</v>
      </c>
      <c r="H75">
        <f t="shared" si="18"/>
        <v>9.7985669324556923</v>
      </c>
      <c r="I75">
        <f t="shared" si="19"/>
        <v>5.3716288114629016</v>
      </c>
      <c r="J75">
        <f t="shared" si="20"/>
        <v>0.26858144057314509</v>
      </c>
      <c r="K75">
        <f t="shared" si="21"/>
        <v>9.7978593181664397</v>
      </c>
      <c r="L75">
        <f t="shared" si="22"/>
        <v>5.3720051803707083</v>
      </c>
      <c r="M75">
        <f t="shared" si="23"/>
        <v>0.2686002590185354</v>
      </c>
      <c r="N75">
        <f t="shared" si="24"/>
        <v>4.5499999999999918</v>
      </c>
      <c r="O75">
        <f t="shared" si="25"/>
        <v>9.9321688568984037</v>
      </c>
      <c r="P75">
        <f t="shared" si="26"/>
        <v>5.3339583404903497</v>
      </c>
      <c r="Q75">
        <f t="shared" si="27"/>
        <v>0.26669791702451751</v>
      </c>
    </row>
    <row r="76" spans="2:17" x14ac:dyDescent="0.25">
      <c r="B76">
        <v>71</v>
      </c>
      <c r="C76">
        <f>C75 + $K$2</f>
        <v>4.5499999999999918</v>
      </c>
      <c r="D76">
        <f t="shared" si="14"/>
        <v>9.9320782621064563</v>
      </c>
      <c r="E76">
        <f t="shared" si="15"/>
        <v>5.3340145797370671</v>
      </c>
      <c r="F76">
        <f t="shared" si="16"/>
        <v>0.26670072898685337</v>
      </c>
      <c r="G76">
        <f t="shared" si="17"/>
        <v>4.5749999999999922</v>
      </c>
      <c r="H76">
        <f t="shared" si="18"/>
        <v>10.065428626599884</v>
      </c>
      <c r="I76">
        <f t="shared" si="19"/>
        <v>5.2872908475851395</v>
      </c>
      <c r="J76">
        <f t="shared" si="20"/>
        <v>0.26436454237925699</v>
      </c>
      <c r="K76">
        <f t="shared" si="21"/>
        <v>10.064260533296085</v>
      </c>
      <c r="L76">
        <f t="shared" si="22"/>
        <v>5.2881102279578593</v>
      </c>
      <c r="M76">
        <f t="shared" si="23"/>
        <v>0.26440551139789298</v>
      </c>
      <c r="N76">
        <f t="shared" si="24"/>
        <v>4.5999999999999917</v>
      </c>
      <c r="O76">
        <f t="shared" si="25"/>
        <v>10.196483773504349</v>
      </c>
      <c r="P76">
        <f t="shared" si="26"/>
        <v>5.2339897951053453</v>
      </c>
      <c r="Q76">
        <f t="shared" si="27"/>
        <v>0.2616994897552673</v>
      </c>
    </row>
    <row r="77" spans="2:17" x14ac:dyDescent="0.25">
      <c r="B77">
        <v>72</v>
      </c>
      <c r="C77">
        <f>C76 + $K$2</f>
        <v>4.5999999999999917</v>
      </c>
      <c r="D77">
        <f t="shared" si="14"/>
        <v>10.196401649822526</v>
      </c>
      <c r="E77">
        <f t="shared" si="15"/>
        <v>5.2340533026114358</v>
      </c>
      <c r="F77">
        <f t="shared" si="16"/>
        <v>0.26170266513057178</v>
      </c>
      <c r="G77">
        <f t="shared" si="17"/>
        <v>4.624999999999992</v>
      </c>
      <c r="H77">
        <f t="shared" si="18"/>
        <v>10.327252982387812</v>
      </c>
      <c r="I77">
        <f t="shared" si="19"/>
        <v>5.1738035533655156</v>
      </c>
      <c r="J77">
        <f t="shared" si="20"/>
        <v>0.25869017766827579</v>
      </c>
      <c r="K77">
        <f t="shared" si="21"/>
        <v>10.325746738656663</v>
      </c>
      <c r="L77">
        <f t="shared" si="22"/>
        <v>5.1750620768156512</v>
      </c>
      <c r="M77">
        <f t="shared" si="23"/>
        <v>0.25875310384078259</v>
      </c>
      <c r="N77">
        <f t="shared" si="24"/>
        <v>4.6499999999999915</v>
      </c>
      <c r="O77">
        <f t="shared" si="25"/>
        <v>10.455154753663308</v>
      </c>
      <c r="P77">
        <f t="shared" si="26"/>
        <v>5.1100313920833562</v>
      </c>
      <c r="Q77">
        <f t="shared" si="27"/>
        <v>0.25550156960416781</v>
      </c>
    </row>
    <row r="78" spans="2:17" x14ac:dyDescent="0.25">
      <c r="B78">
        <v>73</v>
      </c>
      <c r="C78">
        <f>C77 + $K$2</f>
        <v>4.6499999999999915</v>
      </c>
      <c r="D78">
        <f t="shared" si="14"/>
        <v>10.455083449448002</v>
      </c>
      <c r="E78">
        <f t="shared" si="15"/>
        <v>5.1100947021156591</v>
      </c>
      <c r="F78">
        <f t="shared" si="16"/>
        <v>0.25550473510578298</v>
      </c>
      <c r="G78">
        <f t="shared" si="17"/>
        <v>4.6749999999999918</v>
      </c>
      <c r="H78">
        <f t="shared" si="18"/>
        <v>10.582835817000895</v>
      </c>
      <c r="I78">
        <f t="shared" si="19"/>
        <v>5.0415977099855844</v>
      </c>
      <c r="J78">
        <f t="shared" si="20"/>
        <v>0.25207988549927923</v>
      </c>
      <c r="K78">
        <f t="shared" si="21"/>
        <v>10.581123392197641</v>
      </c>
      <c r="L78">
        <f t="shared" si="22"/>
        <v>5.0431903767306192</v>
      </c>
      <c r="M78">
        <f t="shared" si="23"/>
        <v>0.25215951883653098</v>
      </c>
      <c r="N78">
        <f t="shared" si="24"/>
        <v>4.6999999999999913</v>
      </c>
      <c r="O78">
        <f t="shared" si="25"/>
        <v>10.707242968284534</v>
      </c>
      <c r="P78">
        <f t="shared" si="26"/>
        <v>4.9724537469519898</v>
      </c>
      <c r="Q78">
        <f t="shared" si="27"/>
        <v>0.24862268734759951</v>
      </c>
    </row>
    <row r="79" spans="2:17" x14ac:dyDescent="0.25">
      <c r="B79">
        <v>74</v>
      </c>
      <c r="C79">
        <f>C78 + $K$2</f>
        <v>4.6999999999999913</v>
      </c>
      <c r="D79">
        <f t="shared" si="14"/>
        <v>10.707184487968837</v>
      </c>
      <c r="E79">
        <f t="shared" si="15"/>
        <v>4.9725100144259908</v>
      </c>
      <c r="F79">
        <f t="shared" si="16"/>
        <v>0.24862550072129955</v>
      </c>
      <c r="G79">
        <f t="shared" si="17"/>
        <v>4.7249999999999917</v>
      </c>
      <c r="H79">
        <f t="shared" si="18"/>
        <v>10.831497238329487</v>
      </c>
      <c r="I79">
        <f t="shared" si="19"/>
        <v>4.9007701749331387</v>
      </c>
      <c r="J79">
        <f t="shared" si="20"/>
        <v>0.24503850874665695</v>
      </c>
      <c r="K79">
        <f t="shared" si="21"/>
        <v>10.829703742342165</v>
      </c>
      <c r="L79">
        <f t="shared" si="22"/>
        <v>4.9025354647529538</v>
      </c>
      <c r="M79">
        <f t="shared" si="23"/>
        <v>0.2451267732376477</v>
      </c>
      <c r="N79">
        <f t="shared" si="24"/>
        <v>4.7499999999999911</v>
      </c>
      <c r="O79">
        <f t="shared" si="25"/>
        <v>10.952311261206484</v>
      </c>
      <c r="P79">
        <f t="shared" si="26"/>
        <v>4.8307859138499305</v>
      </c>
      <c r="Q79">
        <f t="shared" si="27"/>
        <v>0.24153929569249655</v>
      </c>
    </row>
    <row r="80" spans="2:17" x14ac:dyDescent="0.25">
      <c r="B80">
        <v>75</v>
      </c>
      <c r="C80">
        <f>C79 + $K$2</f>
        <v>4.7499999999999911</v>
      </c>
      <c r="D80">
        <f t="shared" si="14"/>
        <v>10.952267048032571</v>
      </c>
      <c r="E80">
        <f t="shared" si="15"/>
        <v>4.8308299824330678</v>
      </c>
      <c r="F80">
        <f t="shared" si="16"/>
        <v>0.2415414991216534</v>
      </c>
      <c r="G80">
        <f t="shared" si="17"/>
        <v>4.7749999999999915</v>
      </c>
      <c r="H80">
        <f t="shared" si="18"/>
        <v>11.073037797593397</v>
      </c>
      <c r="I80">
        <f t="shared" si="19"/>
        <v>4.7601480556479796</v>
      </c>
      <c r="J80">
        <f t="shared" si="20"/>
        <v>0.23800740278239899</v>
      </c>
      <c r="K80">
        <f t="shared" si="21"/>
        <v>11.071270749423769</v>
      </c>
      <c r="L80">
        <f t="shared" si="22"/>
        <v>4.7619149311866957</v>
      </c>
      <c r="M80">
        <f t="shared" si="23"/>
        <v>0.2380957465593348</v>
      </c>
      <c r="N80">
        <f t="shared" si="24"/>
        <v>4.7999999999999909</v>
      </c>
      <c r="O80">
        <f t="shared" si="25"/>
        <v>11.190362794591906</v>
      </c>
      <c r="P80">
        <f t="shared" si="26"/>
        <v>4.6930275863142867</v>
      </c>
      <c r="Q80">
        <f t="shared" si="27"/>
        <v>0.23465137931571434</v>
      </c>
    </row>
    <row r="81" spans="2:17" x14ac:dyDescent="0.25">
      <c r="B81">
        <v>76</v>
      </c>
      <c r="C81">
        <f>C80 + $K$2</f>
        <v>4.7999999999999909</v>
      </c>
      <c r="D81">
        <f t="shared" si="14"/>
        <v>11.19033357755271</v>
      </c>
      <c r="E81">
        <f t="shared" si="15"/>
        <v>4.6930566357514421</v>
      </c>
      <c r="F81">
        <f t="shared" si="16"/>
        <v>0.23465283178757212</v>
      </c>
      <c r="G81">
        <f t="shared" si="17"/>
        <v>4.8249999999999913</v>
      </c>
      <c r="H81">
        <f t="shared" si="18"/>
        <v>11.307659993446496</v>
      </c>
      <c r="I81">
        <f t="shared" si="19"/>
        <v>4.6268455390257746</v>
      </c>
      <c r="J81">
        <f t="shared" si="20"/>
        <v>0.23134227695128873</v>
      </c>
      <c r="K81">
        <f t="shared" si="21"/>
        <v>11.306004716028355</v>
      </c>
      <c r="L81">
        <f t="shared" si="22"/>
        <v>4.6284682643524562</v>
      </c>
      <c r="M81">
        <f t="shared" si="23"/>
        <v>0.23142341321762283</v>
      </c>
      <c r="N81">
        <f t="shared" si="24"/>
        <v>4.8499999999999908</v>
      </c>
      <c r="O81">
        <f t="shared" si="25"/>
        <v>11.421756990770334</v>
      </c>
      <c r="P81">
        <f t="shared" si="26"/>
        <v>4.5654167415650058</v>
      </c>
      <c r="Q81">
        <f t="shared" si="27"/>
        <v>0.2282708370782503</v>
      </c>
    </row>
    <row r="82" spans="2:17" x14ac:dyDescent="0.25">
      <c r="B82">
        <v>77</v>
      </c>
      <c r="C82">
        <f>C81 + $K$2</f>
        <v>4.8499999999999908</v>
      </c>
      <c r="D82">
        <f t="shared" si="14"/>
        <v>11.421742752419984</v>
      </c>
      <c r="E82">
        <f t="shared" si="15"/>
        <v>4.5654303912073262</v>
      </c>
      <c r="F82">
        <f t="shared" si="16"/>
        <v>0.22827151956036631</v>
      </c>
      <c r="G82">
        <f t="shared" si="17"/>
        <v>4.8749999999999911</v>
      </c>
      <c r="H82">
        <f t="shared" si="18"/>
        <v>11.535878512200167</v>
      </c>
      <c r="I82">
        <f t="shared" si="19"/>
        <v>4.5062227544956759</v>
      </c>
      <c r="J82">
        <f t="shared" si="20"/>
        <v>0.22531113772478381</v>
      </c>
      <c r="K82">
        <f t="shared" si="21"/>
        <v>11.534398321282376</v>
      </c>
      <c r="L82">
        <f t="shared" si="22"/>
        <v>4.5075990217898578</v>
      </c>
      <c r="M82">
        <f t="shared" si="23"/>
        <v>0.22537995108949291</v>
      </c>
      <c r="N82">
        <f t="shared" si="24"/>
        <v>4.8999999999999906</v>
      </c>
      <c r="O82">
        <f t="shared" si="25"/>
        <v>11.647122703509478</v>
      </c>
      <c r="P82">
        <f t="shared" si="26"/>
        <v>4.4525272296146712</v>
      </c>
      <c r="Q82">
        <f t="shared" si="27"/>
        <v>0.22262636148073356</v>
      </c>
    </row>
    <row r="83" spans="2:17" x14ac:dyDescent="0.25">
      <c r="B83">
        <v>78</v>
      </c>
      <c r="C83">
        <f>C82 + $K$2</f>
        <v>4.8999999999999906</v>
      </c>
      <c r="D83">
        <f t="shared" si="14"/>
        <v>11.64712276219826</v>
      </c>
      <c r="E83">
        <f t="shared" si="15"/>
        <v>4.4525271771294372</v>
      </c>
      <c r="F83">
        <f t="shared" si="16"/>
        <v>0.22262635885647186</v>
      </c>
      <c r="G83">
        <f t="shared" si="17"/>
        <v>4.9249999999999909</v>
      </c>
      <c r="H83">
        <f t="shared" si="18"/>
        <v>11.758435941626496</v>
      </c>
      <c r="I83">
        <f t="shared" si="19"/>
        <v>4.4020991154764832</v>
      </c>
      <c r="J83">
        <f t="shared" si="20"/>
        <v>0.22010495577382416</v>
      </c>
      <c r="K83">
        <f t="shared" si="21"/>
        <v>11.757175240085171</v>
      </c>
      <c r="L83">
        <f t="shared" si="22"/>
        <v>4.4031741445218362</v>
      </c>
      <c r="M83">
        <f t="shared" si="23"/>
        <v>0.22015870722609182</v>
      </c>
      <c r="N83">
        <f t="shared" si="24"/>
        <v>4.9499999999999904</v>
      </c>
      <c r="O83">
        <f t="shared" si="25"/>
        <v>11.867281469424352</v>
      </c>
      <c r="P83">
        <f t="shared" si="26"/>
        <v>4.3575503820301087</v>
      </c>
      <c r="Q83">
        <f t="shared" si="27"/>
        <v>0.21787751910150543</v>
      </c>
    </row>
    <row r="84" spans="2:17" x14ac:dyDescent="0.25">
      <c r="B84">
        <v>79</v>
      </c>
      <c r="C84">
        <f>C83 + $K$2</f>
        <v>4.9499999999999904</v>
      </c>
      <c r="D84">
        <f t="shared" si="14"/>
        <v>11.867294629524562</v>
      </c>
      <c r="E84">
        <f t="shared" si="15"/>
        <v>4.3575397802059319</v>
      </c>
      <c r="F84">
        <f t="shared" si="16"/>
        <v>0.21787698901029662</v>
      </c>
      <c r="G84">
        <f t="shared" si="17"/>
        <v>4.9749999999999908</v>
      </c>
      <c r="H84">
        <f t="shared" si="18"/>
        <v>11.97623312402971</v>
      </c>
      <c r="I84">
        <f t="shared" si="19"/>
        <v>4.3170842460360799</v>
      </c>
      <c r="J84">
        <f t="shared" si="20"/>
        <v>0.21585421230180402</v>
      </c>
      <c r="K84">
        <f t="shared" si="21"/>
        <v>11.975221735675463</v>
      </c>
      <c r="L84">
        <f t="shared" si="22"/>
        <v>4.3178462504078992</v>
      </c>
      <c r="M84">
        <f t="shared" si="23"/>
        <v>0.21589231252039498</v>
      </c>
      <c r="N84">
        <f t="shared" si="24"/>
        <v>4.9999999999999902</v>
      </c>
      <c r="O84">
        <f t="shared" si="25"/>
        <v>12.083186942044957</v>
      </c>
      <c r="P84">
        <f t="shared" si="26"/>
        <v>4.2826427700797467</v>
      </c>
      <c r="Q84">
        <f t="shared" si="27"/>
        <v>0.21413213850398735</v>
      </c>
    </row>
    <row r="85" spans="2:17" x14ac:dyDescent="0.25">
      <c r="B85">
        <v>80</v>
      </c>
      <c r="C85">
        <f>C84 + $K$2</f>
        <v>4.9999999999999902</v>
      </c>
      <c r="D85">
        <f t="shared" si="14"/>
        <v>12.083211659051008</v>
      </c>
      <c r="E85">
        <f t="shared" si="15"/>
        <v>4.282625549823913</v>
      </c>
      <c r="F85">
        <f t="shared" si="16"/>
        <v>0.21413127749119565</v>
      </c>
      <c r="G85">
        <f t="shared" si="17"/>
        <v>5.0249999999999906</v>
      </c>
      <c r="H85">
        <f t="shared" si="18"/>
        <v>12.190277297796605</v>
      </c>
      <c r="I85">
        <f t="shared" si="19"/>
        <v>4.2529298943976963</v>
      </c>
      <c r="J85">
        <f t="shared" si="20"/>
        <v>0.21264649471988484</v>
      </c>
      <c r="K85">
        <f t="shared" si="21"/>
        <v>12.18953490641095</v>
      </c>
      <c r="L85">
        <f t="shared" si="22"/>
        <v>4.2534019245863419</v>
      </c>
      <c r="M85">
        <f t="shared" si="23"/>
        <v>0.2126700962293171</v>
      </c>
      <c r="N85">
        <f t="shared" si="24"/>
        <v>5.0499999999999901</v>
      </c>
      <c r="O85">
        <f t="shared" si="25"/>
        <v>12.295881755280325</v>
      </c>
      <c r="P85">
        <f t="shared" si="26"/>
        <v>4.2292649447962987</v>
      </c>
      <c r="Q85">
        <f t="shared" si="27"/>
        <v>0.21146324723981494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77E5-85D9-40FD-8A0F-DC3D00351BB2}">
  <dimension ref="A1:Q85"/>
  <sheetViews>
    <sheetView workbookViewId="0">
      <selection activeCell="O21" sqref="O21"/>
    </sheetView>
  </sheetViews>
  <sheetFormatPr defaultRowHeight="15" x14ac:dyDescent="0.25"/>
  <cols>
    <col min="1" max="1" width="14.140625" customWidth="1"/>
  </cols>
  <sheetData>
    <row r="1" spans="1:17" x14ac:dyDescent="0.25">
      <c r="I1" t="s">
        <v>2</v>
      </c>
      <c r="J1" t="s">
        <v>3</v>
      </c>
      <c r="K1" t="s">
        <v>4</v>
      </c>
      <c r="L1" t="s">
        <v>5</v>
      </c>
    </row>
    <row r="2" spans="1:17" x14ac:dyDescent="0.25">
      <c r="I2" t="s">
        <v>0</v>
      </c>
      <c r="J2" t="s">
        <v>1</v>
      </c>
      <c r="K2">
        <v>0.05</v>
      </c>
      <c r="L2">
        <v>2</v>
      </c>
    </row>
    <row r="4" spans="1:17" ht="15" customHeight="1" x14ac:dyDescent="0.25">
      <c r="A4" s="1" t="s">
        <v>24</v>
      </c>
      <c r="B4" t="s">
        <v>6</v>
      </c>
      <c r="C4" t="s">
        <v>8</v>
      </c>
      <c r="D4" t="s">
        <v>7</v>
      </c>
      <c r="E4" t="s">
        <v>10</v>
      </c>
      <c r="F4" t="s">
        <v>12</v>
      </c>
      <c r="G4" t="s">
        <v>16</v>
      </c>
      <c r="H4" t="s">
        <v>17</v>
      </c>
      <c r="I4" t="s">
        <v>15</v>
      </c>
      <c r="J4" t="s">
        <v>11</v>
      </c>
      <c r="K4" t="s">
        <v>18</v>
      </c>
      <c r="L4" t="s">
        <v>19</v>
      </c>
      <c r="M4" t="s">
        <v>13</v>
      </c>
      <c r="N4" t="s">
        <v>20</v>
      </c>
      <c r="O4" t="s">
        <v>21</v>
      </c>
      <c r="P4" t="s">
        <v>22</v>
      </c>
      <c r="Q4" t="s">
        <v>14</v>
      </c>
    </row>
    <row r="5" spans="1:17" x14ac:dyDescent="0.25">
      <c r="A5" s="1"/>
      <c r="B5">
        <v>0</v>
      </c>
      <c r="C5">
        <f>1</f>
        <v>1</v>
      </c>
      <c r="D5">
        <f>L2</f>
        <v>2</v>
      </c>
      <c r="E5">
        <f>SIN(C5 - D5) + C5</f>
        <v>0.1585290151921035</v>
      </c>
      <c r="F5">
        <f>$K$2 * E5</f>
        <v>7.9264507596051755E-3</v>
      </c>
      <c r="G5">
        <f>C5 + $K$2 / 2</f>
        <v>1.0249999999999999</v>
      </c>
      <c r="H5">
        <f>D5 + F5 / 2</f>
        <v>2.0039632253798025</v>
      </c>
      <c r="I5">
        <f>SIN(G5 - H5) + G5</f>
        <v>0.19508058259537553</v>
      </c>
      <c r="J5">
        <f>$K$2 * I5</f>
        <v>9.7540291297687765E-3</v>
      </c>
      <c r="K5">
        <f>D5 + J5/2</f>
        <v>2.0048770145648844</v>
      </c>
      <c r="L5">
        <f>SIN(G5 - K5) + G5</f>
        <v>0.19457114144894949</v>
      </c>
      <c r="M5">
        <f xml:space="preserve"> $K$2 * L5</f>
        <v>9.7285570724474756E-3</v>
      </c>
      <c r="N5">
        <f>C5 + $K$2</f>
        <v>1.05</v>
      </c>
      <c r="O5">
        <f>D5 + M5</f>
        <v>2.0097285570724477</v>
      </c>
      <c r="P5">
        <f>SIN(N5 - O5) + N5</f>
        <v>0.23096413982065378</v>
      </c>
      <c r="Q5">
        <f>$K$2 * P5</f>
        <v>1.154820699103269E-2</v>
      </c>
    </row>
    <row r="6" spans="1:17" x14ac:dyDescent="0.25">
      <c r="A6" s="1"/>
      <c r="B6">
        <v>1</v>
      </c>
      <c r="C6">
        <f>C5 + $K$2</f>
        <v>1.05</v>
      </c>
      <c r="D6">
        <f>D5 + (F5 + 2*J5 + 2*M5 + Q5)/6</f>
        <v>2.009739971692512</v>
      </c>
      <c r="E6">
        <f>SIN(C6 - D6) + C6</f>
        <v>0.23095759082331457</v>
      </c>
      <c r="F6">
        <f>$K$2 * E6</f>
        <v>1.1547879541165729E-2</v>
      </c>
      <c r="G6">
        <f>C6 + $K$2 / 2</f>
        <v>1.075</v>
      </c>
      <c r="H6">
        <f>D6 + F6 / 2</f>
        <v>2.0155139114630947</v>
      </c>
      <c r="I6">
        <f>SIN(G6 - H6) + G6</f>
        <v>0.26713890742142832</v>
      </c>
      <c r="J6">
        <f>$K$2 * I6</f>
        <v>1.3356945371071417E-2</v>
      </c>
      <c r="K6">
        <f>D6 + J6/2</f>
        <v>2.0164184443780475</v>
      </c>
      <c r="L6">
        <f>SIN(G6 - K6) + G6</f>
        <v>0.26660613076410755</v>
      </c>
      <c r="M6">
        <f xml:space="preserve"> $K$2 * L6</f>
        <v>1.3330306538205378E-2</v>
      </c>
      <c r="N6">
        <f>C6 + $K$2</f>
        <v>1.1000000000000001</v>
      </c>
      <c r="O6">
        <f>D6 + M6</f>
        <v>2.0230702782307173</v>
      </c>
      <c r="P6">
        <f>SIN(N6 - O6) + N6</f>
        <v>0.30254209635678353</v>
      </c>
      <c r="Q6">
        <f>$K$2 * P6</f>
        <v>1.5127104817839177E-2</v>
      </c>
    </row>
    <row r="7" spans="1:17" x14ac:dyDescent="0.25">
      <c r="A7" s="1"/>
      <c r="B7">
        <v>2</v>
      </c>
      <c r="C7">
        <f>C6 + $K$2</f>
        <v>1.1000000000000001</v>
      </c>
      <c r="D7">
        <f t="shared" ref="D7:D8" si="0">D6 + (F6 + 2*J6 + 2*M6 + Q6)/6</f>
        <v>2.0230815530554382</v>
      </c>
      <c r="E7">
        <f t="shared" ref="E7:E9" si="1">SIN(C7 - D7) + C7</f>
        <v>0.30253529346476427</v>
      </c>
      <c r="F7">
        <f t="shared" ref="F7:F8" si="2">$K$2 * E7</f>
        <v>1.5126764673238214E-2</v>
      </c>
      <c r="G7">
        <f t="shared" ref="G7:G8" si="3">C7 + $K$2 / 2</f>
        <v>1.125</v>
      </c>
      <c r="H7">
        <f t="shared" ref="H7:H8" si="4">D7 + F7 / 2</f>
        <v>2.0306449353920573</v>
      </c>
      <c r="I7">
        <f t="shared" ref="I7:I8" si="5">SIN(G7 - H7) + G7</f>
        <v>0.33817664133676628</v>
      </c>
      <c r="J7">
        <f t="shared" ref="J7:J8" si="6">$K$2 * I7</f>
        <v>1.6908832066838315E-2</v>
      </c>
      <c r="K7">
        <f t="shared" ref="K7:K8" si="7">D7 + J7/2</f>
        <v>2.0315359690888575</v>
      </c>
      <c r="L7">
        <f t="shared" ref="L7:L8" si="8">SIN(G7 - K7) + G7</f>
        <v>0.33762702713030246</v>
      </c>
      <c r="M7">
        <f t="shared" ref="M7:M8" si="9" xml:space="preserve"> $K$2 * L7</f>
        <v>1.6881351356515122E-2</v>
      </c>
      <c r="N7">
        <f t="shared" ref="N7:N8" si="10">C7 + $K$2</f>
        <v>1.1500000000000001</v>
      </c>
      <c r="O7">
        <f t="shared" ref="O7:O8" si="11">D7 + M7</f>
        <v>2.0399629044119534</v>
      </c>
      <c r="P7">
        <f t="shared" ref="P7:P8" si="12">SIN(N7 - O7) + N7</f>
        <v>0.37295160141707784</v>
      </c>
      <c r="Q7">
        <f t="shared" ref="Q7:Q8" si="13">$K$2 * P7</f>
        <v>1.8647580070853893E-2</v>
      </c>
    </row>
    <row r="8" spans="1:17" x14ac:dyDescent="0.25">
      <c r="A8" s="1"/>
      <c r="B8">
        <v>3</v>
      </c>
      <c r="C8">
        <f>C7 + $K$2</f>
        <v>1.1500000000000001</v>
      </c>
      <c r="D8">
        <f t="shared" si="0"/>
        <v>2.0399740049872381</v>
      </c>
      <c r="E8">
        <f t="shared" si="1"/>
        <v>0.3729446143093873</v>
      </c>
      <c r="F8">
        <f t="shared" si="2"/>
        <v>1.8647230715469365E-2</v>
      </c>
      <c r="G8">
        <f t="shared" si="3"/>
        <v>1.175</v>
      </c>
      <c r="H8">
        <f t="shared" si="4"/>
        <v>2.0492976203449729</v>
      </c>
      <c r="I8">
        <f t="shared" si="5"/>
        <v>0.40790691020793024</v>
      </c>
      <c r="J8">
        <f t="shared" si="6"/>
        <v>2.0395345510396512E-2</v>
      </c>
      <c r="K8">
        <f t="shared" si="7"/>
        <v>2.0501716777424366</v>
      </c>
      <c r="L8">
        <f t="shared" si="8"/>
        <v>0.40734646418199483</v>
      </c>
      <c r="M8">
        <f t="shared" si="9"/>
        <v>2.0367323209099744E-2</v>
      </c>
      <c r="N8">
        <f t="shared" si="10"/>
        <v>1.2000000000000002</v>
      </c>
      <c r="O8">
        <f t="shared" si="11"/>
        <v>2.0603413281963379</v>
      </c>
      <c r="P8">
        <f t="shared" si="12"/>
        <v>0.44193478595101565</v>
      </c>
      <c r="Q8">
        <f t="shared" si="13"/>
        <v>2.2096739297550783E-2</v>
      </c>
    </row>
    <row r="9" spans="1:17" ht="17.25" customHeight="1" x14ac:dyDescent="0.25">
      <c r="A9" s="1" t="s">
        <v>23</v>
      </c>
      <c r="B9">
        <v>4</v>
      </c>
      <c r="C9">
        <f t="shared" ref="C9:C72" si="14">C8 + $K$2</f>
        <v>1.2000000000000002</v>
      </c>
      <c r="D9">
        <f>D8 + $K$2*(55*E8 - 59*E7 + 37*E6 - 9*E5)/24</f>
        <v>2.0603511741462568</v>
      </c>
      <c r="E9">
        <f t="shared" si="1"/>
        <v>0.44192836466837937</v>
      </c>
    </row>
    <row r="10" spans="1:17" x14ac:dyDescent="0.25">
      <c r="A10" s="1"/>
      <c r="B10">
        <v>5</v>
      </c>
      <c r="C10">
        <f t="shared" si="14"/>
        <v>1.2500000000000002</v>
      </c>
      <c r="D10">
        <f t="shared" ref="D10:D73" si="15">D9 + $K$2*(55*E9 - 59*E8 + 37*E7 - 9*E6)/24</f>
        <v>2.0841376644656182</v>
      </c>
      <c r="E10">
        <f t="shared" ref="E10:E73" si="16">SIN(C10 - D10) + C10</f>
        <v>0.50928254418879948</v>
      </c>
    </row>
    <row r="11" spans="1:17" x14ac:dyDescent="0.25">
      <c r="B11">
        <v>6</v>
      </c>
      <c r="C11">
        <f t="shared" si="14"/>
        <v>1.3000000000000003</v>
      </c>
      <c r="D11">
        <f t="shared" si="15"/>
        <v>2.1112478717639807</v>
      </c>
      <c r="E11">
        <f t="shared" si="16"/>
        <v>0.57485298415147468</v>
      </c>
    </row>
    <row r="12" spans="1:17" x14ac:dyDescent="0.25">
      <c r="B12">
        <v>7</v>
      </c>
      <c r="C12">
        <f t="shared" si="14"/>
        <v>1.3500000000000003</v>
      </c>
      <c r="D12">
        <f t="shared" si="15"/>
        <v>2.1415897300663502</v>
      </c>
      <c r="E12">
        <f t="shared" si="16"/>
        <v>0.63852870161035025</v>
      </c>
    </row>
    <row r="13" spans="1:17" x14ac:dyDescent="0.25">
      <c r="B13">
        <v>8</v>
      </c>
      <c r="C13">
        <f t="shared" si="14"/>
        <v>1.4000000000000004</v>
      </c>
      <c r="D13">
        <f t="shared" si="15"/>
        <v>2.1750665037676051</v>
      </c>
      <c r="E13">
        <f t="shared" si="16"/>
        <v>0.70023641451034602</v>
      </c>
    </row>
    <row r="14" spans="1:17" x14ac:dyDescent="0.25">
      <c r="B14">
        <v>9</v>
      </c>
      <c r="C14">
        <f t="shared" si="14"/>
        <v>1.4500000000000004</v>
      </c>
      <c r="D14">
        <f t="shared" si="15"/>
        <v>2.2115786431821127</v>
      </c>
      <c r="E14">
        <f t="shared" si="16"/>
        <v>0.75993515637352638</v>
      </c>
    </row>
    <row r="15" spans="1:17" x14ac:dyDescent="0.25">
      <c r="B15">
        <v>10</v>
      </c>
      <c r="C15">
        <f t="shared" si="14"/>
        <v>1.5000000000000004</v>
      </c>
      <c r="D15">
        <f t="shared" si="15"/>
        <v>2.2510252478626405</v>
      </c>
      <c r="E15">
        <f t="shared" si="16"/>
        <v>0.8176114359056833</v>
      </c>
    </row>
    <row r="16" spans="1:17" x14ac:dyDescent="0.25">
      <c r="B16">
        <v>11</v>
      </c>
      <c r="C16">
        <f t="shared" si="14"/>
        <v>1.5500000000000005</v>
      </c>
      <c r="D16">
        <f t="shared" si="15"/>
        <v>2.2933053390525657</v>
      </c>
      <c r="E16">
        <f t="shared" si="16"/>
        <v>0.87327488723428204</v>
      </c>
    </row>
    <row r="17" spans="2:5" x14ac:dyDescent="0.25">
      <c r="B17">
        <v>12</v>
      </c>
      <c r="C17">
        <f t="shared" si="14"/>
        <v>1.6000000000000005</v>
      </c>
      <c r="D17">
        <f t="shared" si="15"/>
        <v>2.3383189164164775</v>
      </c>
      <c r="E17">
        <f t="shared" si="16"/>
        <v>0.92695446794092262</v>
      </c>
    </row>
    <row r="18" spans="2:5" x14ac:dyDescent="0.25">
      <c r="B18">
        <v>13</v>
      </c>
      <c r="C18">
        <f t="shared" si="14"/>
        <v>1.6500000000000006</v>
      </c>
      <c r="D18">
        <f t="shared" si="15"/>
        <v>2.3859678416478873</v>
      </c>
      <c r="E18">
        <f t="shared" si="16"/>
        <v>0.97869518385068321</v>
      </c>
    </row>
    <row r="19" spans="2:5" x14ac:dyDescent="0.25">
      <c r="B19">
        <v>14</v>
      </c>
      <c r="C19">
        <f t="shared" si="14"/>
        <v>1.7000000000000006</v>
      </c>
      <c r="D19">
        <f t="shared" si="15"/>
        <v>2.4361565695807839</v>
      </c>
      <c r="E19">
        <f t="shared" si="16"/>
        <v>1.0285553141763777</v>
      </c>
    </row>
    <row r="20" spans="2:5" x14ac:dyDescent="0.25">
      <c r="B20">
        <v>15</v>
      </c>
      <c r="C20">
        <f t="shared" si="14"/>
        <v>1.7500000000000007</v>
      </c>
      <c r="D20">
        <f t="shared" si="15"/>
        <v>2.4887927524166509</v>
      </c>
      <c r="E20">
        <f t="shared" si="16"/>
        <v>1.0766040939075014</v>
      </c>
    </row>
    <row r="21" spans="2:5" x14ac:dyDescent="0.25">
      <c r="B21">
        <v>16</v>
      </c>
      <c r="C21">
        <f t="shared" si="14"/>
        <v>1.8000000000000007</v>
      </c>
      <c r="D21">
        <f t="shared" si="15"/>
        <v>2.5437877382906366</v>
      </c>
      <c r="E21">
        <f t="shared" si="16"/>
        <v>1.1229198064094188</v>
      </c>
    </row>
    <row r="22" spans="2:5" x14ac:dyDescent="0.25">
      <c r="B22">
        <v>17</v>
      </c>
      <c r="C22">
        <f t="shared" si="14"/>
        <v>1.8500000000000008</v>
      </c>
      <c r="D22">
        <f t="shared" si="15"/>
        <v>2.6010569836694808</v>
      </c>
      <c r="E22">
        <f t="shared" si="16"/>
        <v>1.1675882377034426</v>
      </c>
    </row>
    <row r="23" spans="2:5" x14ac:dyDescent="0.25">
      <c r="B23">
        <v>18</v>
      </c>
      <c r="C23">
        <f t="shared" si="14"/>
        <v>1.9000000000000008</v>
      </c>
      <c r="D23">
        <f t="shared" si="15"/>
        <v>2.6605203964664055</v>
      </c>
      <c r="E23">
        <f t="shared" si="16"/>
        <v>1.2107014460920236</v>
      </c>
    </row>
    <row r="24" spans="2:5" x14ac:dyDescent="0.25">
      <c r="B24">
        <v>19</v>
      </c>
      <c r="C24">
        <f t="shared" si="14"/>
        <v>1.9500000000000008</v>
      </c>
      <c r="D24">
        <f t="shared" si="15"/>
        <v>2.7221026245966953</v>
      </c>
      <c r="E24">
        <f t="shared" si="16"/>
        <v>1.2523568046696334</v>
      </c>
    </row>
    <row r="25" spans="2:5" x14ac:dyDescent="0.25">
      <c r="B25">
        <v>20</v>
      </c>
      <c r="C25">
        <f t="shared" si="14"/>
        <v>2.0000000000000009</v>
      </c>
      <c r="D25">
        <f t="shared" si="15"/>
        <v>2.7857333026690765</v>
      </c>
      <c r="E25">
        <f t="shared" si="16"/>
        <v>1.2926562792768066</v>
      </c>
    </row>
    <row r="26" spans="2:5" x14ac:dyDescent="0.25">
      <c r="B26">
        <v>21</v>
      </c>
      <c r="C26">
        <f t="shared" si="14"/>
        <v>2.0500000000000007</v>
      </c>
      <c r="D26">
        <f t="shared" si="15"/>
        <v>2.8513472677748886</v>
      </c>
      <c r="E26">
        <f t="shared" si="16"/>
        <v>1.3317059099337347</v>
      </c>
    </row>
    <row r="27" spans="2:5" x14ac:dyDescent="0.25">
      <c r="B27">
        <v>22</v>
      </c>
      <c r="C27">
        <f t="shared" si="14"/>
        <v>2.1000000000000005</v>
      </c>
      <c r="D27">
        <f t="shared" si="15"/>
        <v>2.9188847538727472</v>
      </c>
      <c r="E27">
        <f t="shared" si="16"/>
        <v>1.3696154693647542</v>
      </c>
    </row>
    <row r="28" spans="2:5" x14ac:dyDescent="0.25">
      <c r="B28">
        <v>23</v>
      </c>
      <c r="C28">
        <f t="shared" si="14"/>
        <v>2.1500000000000004</v>
      </c>
      <c r="D28">
        <f t="shared" si="15"/>
        <v>2.9882915730814688</v>
      </c>
      <c r="E28">
        <f t="shared" si="16"/>
        <v>1.4064982776362822</v>
      </c>
    </row>
    <row r="29" spans="2:5" x14ac:dyDescent="0.25">
      <c r="B29">
        <v>24</v>
      </c>
      <c r="C29">
        <f t="shared" si="14"/>
        <v>2.2000000000000002</v>
      </c>
      <c r="D29">
        <f t="shared" si="15"/>
        <v>3.0595192912721605</v>
      </c>
      <c r="E29">
        <f t="shared" si="16"/>
        <v>1.4424711570394222</v>
      </c>
    </row>
    <row r="30" spans="2:5" x14ac:dyDescent="0.25">
      <c r="B30">
        <v>25</v>
      </c>
      <c r="C30">
        <f t="shared" si="14"/>
        <v>2.25</v>
      </c>
      <c r="D30">
        <f t="shared" si="15"/>
        <v>3.1325254046757434</v>
      </c>
      <c r="E30">
        <f t="shared" si="16"/>
        <v>1.4776545160899976</v>
      </c>
    </row>
    <row r="31" spans="2:5" x14ac:dyDescent="0.25">
      <c r="B31">
        <v>26</v>
      </c>
      <c r="C31">
        <f t="shared" si="14"/>
        <v>2.2999999999999998</v>
      </c>
      <c r="D31">
        <f t="shared" si="15"/>
        <v>3.207273523775501</v>
      </c>
      <c r="E31">
        <f t="shared" si="16"/>
        <v>1.5121725558850549</v>
      </c>
    </row>
    <row r="32" spans="2:5" x14ac:dyDescent="0.25">
      <c r="B32">
        <v>27</v>
      </c>
      <c r="C32">
        <f t="shared" si="14"/>
        <v>2.3499999999999996</v>
      </c>
      <c r="D32">
        <f t="shared" si="15"/>
        <v>3.2837335705173767</v>
      </c>
      <c r="E32">
        <f t="shared" si="16"/>
        <v>1.5461535960749613</v>
      </c>
    </row>
    <row r="33" spans="2:5" x14ac:dyDescent="0.25">
      <c r="B33">
        <v>28</v>
      </c>
      <c r="C33">
        <f t="shared" si="14"/>
        <v>2.3999999999999995</v>
      </c>
      <c r="D33">
        <f t="shared" si="15"/>
        <v>3.3618819948275429</v>
      </c>
      <c r="E33">
        <f t="shared" si="16"/>
        <v>1.5797305214376214</v>
      </c>
    </row>
    <row r="34" spans="2:5" x14ac:dyDescent="0.25">
      <c r="B34">
        <v>29</v>
      </c>
      <c r="C34">
        <f t="shared" si="14"/>
        <v>2.4499999999999993</v>
      </c>
      <c r="D34">
        <f t="shared" si="15"/>
        <v>3.4417020165641752</v>
      </c>
      <c r="E34">
        <f t="shared" si="16"/>
        <v>1.6130413535440364</v>
      </c>
    </row>
    <row r="35" spans="2:5" x14ac:dyDescent="0.25">
      <c r="B35">
        <v>30</v>
      </c>
      <c r="C35">
        <f t="shared" si="14"/>
        <v>2.4999999999999991</v>
      </c>
      <c r="D35">
        <f t="shared" si="15"/>
        <v>3.5231838993389886</v>
      </c>
      <c r="E35">
        <f t="shared" si="16"/>
        <v>1.6462299553572066</v>
      </c>
    </row>
    <row r="36" spans="2:5" x14ac:dyDescent="0.25">
      <c r="B36">
        <v>31</v>
      </c>
      <c r="C36">
        <f t="shared" si="14"/>
        <v>2.5499999999999989</v>
      </c>
      <c r="D36">
        <f t="shared" si="15"/>
        <v>3.6063252631182916</v>
      </c>
      <c r="E36">
        <f t="shared" si="16"/>
        <v>1.6794468798843636</v>
      </c>
    </row>
    <row r="37" spans="2:5" x14ac:dyDescent="0.25">
      <c r="B37">
        <v>32</v>
      </c>
      <c r="C37">
        <f t="shared" si="14"/>
        <v>2.5999999999999988</v>
      </c>
      <c r="D37">
        <f t="shared" si="15"/>
        <v>3.6911314431511157</v>
      </c>
      <c r="E37">
        <f t="shared" si="16"/>
        <v>1.7128503772750077</v>
      </c>
    </row>
    <row r="38" spans="2:5" x14ac:dyDescent="0.25">
      <c r="B38">
        <v>33</v>
      </c>
      <c r="C38">
        <f t="shared" si="14"/>
        <v>2.6499999999999986</v>
      </c>
      <c r="D38">
        <f t="shared" si="15"/>
        <v>3.7776159035745915</v>
      </c>
      <c r="E38">
        <f t="shared" si="16"/>
        <v>1.746607578080646</v>
      </c>
    </row>
    <row r="39" spans="2:5" x14ac:dyDescent="0.25">
      <c r="B39">
        <v>34</v>
      </c>
      <c r="C39">
        <f t="shared" si="14"/>
        <v>2.6999999999999984</v>
      </c>
      <c r="D39">
        <f t="shared" si="15"/>
        <v>3.8658007150177514</v>
      </c>
      <c r="E39">
        <f t="shared" si="16"/>
        <v>1.7808958738009428</v>
      </c>
    </row>
    <row r="40" spans="2:5" x14ac:dyDescent="0.25">
      <c r="B40">
        <v>35</v>
      </c>
      <c r="C40">
        <f t="shared" si="14"/>
        <v>2.7499999999999982</v>
      </c>
      <c r="D40">
        <f t="shared" si="15"/>
        <v>3.9557171066688133</v>
      </c>
      <c r="E40">
        <f t="shared" si="16"/>
        <v>1.8159045193346088</v>
      </c>
    </row>
    <row r="41" spans="2:5" x14ac:dyDescent="0.25">
      <c r="B41">
        <v>36</v>
      </c>
      <c r="C41">
        <f t="shared" si="14"/>
        <v>2.799999999999998</v>
      </c>
      <c r="D41">
        <f t="shared" si="15"/>
        <v>4.0474061045910146</v>
      </c>
      <c r="E41">
        <f t="shared" si="16"/>
        <v>1.8518364854770679</v>
      </c>
    </row>
    <row r="42" spans="2:5" x14ac:dyDescent="0.25">
      <c r="B42">
        <v>37</v>
      </c>
      <c r="C42">
        <f t="shared" si="14"/>
        <v>2.8499999999999979</v>
      </c>
      <c r="D42">
        <f t="shared" si="15"/>
        <v>4.1409192695668597</v>
      </c>
      <c r="E42">
        <f t="shared" si="16"/>
        <v>1.8889105930229704</v>
      </c>
    </row>
    <row r="43" spans="2:5" x14ac:dyDescent="0.25">
      <c r="B43">
        <v>38</v>
      </c>
      <c r="C43">
        <f t="shared" si="14"/>
        <v>2.8999999999999977</v>
      </c>
      <c r="D43">
        <f t="shared" si="15"/>
        <v>4.236319549409127</v>
      </c>
      <c r="E43">
        <f t="shared" si="16"/>
        <v>1.9273639630760138</v>
      </c>
    </row>
    <row r="44" spans="2:5" x14ac:dyDescent="0.25">
      <c r="B44">
        <v>39</v>
      </c>
      <c r="C44">
        <f t="shared" si="14"/>
        <v>2.9499999999999975</v>
      </c>
      <c r="D44">
        <f t="shared" si="15"/>
        <v>4.3336822624705134</v>
      </c>
      <c r="E44">
        <f t="shared" si="16"/>
        <v>1.9674548203861586</v>
      </c>
    </row>
    <row r="45" spans="2:5" x14ac:dyDescent="0.25">
      <c r="B45">
        <v>40</v>
      </c>
      <c r="C45">
        <f t="shared" si="14"/>
        <v>2.9999999999999973</v>
      </c>
      <c r="D45">
        <f t="shared" si="15"/>
        <v>4.4330962309544928</v>
      </c>
      <c r="E45">
        <f t="shared" si="16"/>
        <v>2.0094656871823653</v>
      </c>
    </row>
    <row r="46" spans="2:5" x14ac:dyDescent="0.25">
      <c r="B46">
        <v>41</v>
      </c>
      <c r="C46">
        <f t="shared" si="14"/>
        <v>3.0499999999999972</v>
      </c>
      <c r="D46">
        <f t="shared" si="15"/>
        <v>4.5346650844729357</v>
      </c>
      <c r="E46">
        <f t="shared" si="16"/>
        <v>2.0537070028734892</v>
      </c>
    </row>
    <row r="47" spans="2:5" x14ac:dyDescent="0.25">
      <c r="B47">
        <v>42</v>
      </c>
      <c r="C47">
        <f t="shared" si="14"/>
        <v>3.099999999999997</v>
      </c>
      <c r="D47">
        <f t="shared" si="15"/>
        <v>4.6385087559331151</v>
      </c>
      <c r="E47">
        <f t="shared" si="16"/>
        <v>2.100521198335163</v>
      </c>
    </row>
    <row r="48" spans="2:5" x14ac:dyDescent="0.25">
      <c r="B48">
        <v>43</v>
      </c>
      <c r="C48">
        <f t="shared" si="14"/>
        <v>3.1499999999999968</v>
      </c>
      <c r="D48">
        <f t="shared" si="15"/>
        <v>4.7447651929772192</v>
      </c>
      <c r="E48">
        <f t="shared" si="16"/>
        <v>2.1502872395208863</v>
      </c>
    </row>
    <row r="49" spans="2:5" x14ac:dyDescent="0.25">
      <c r="B49">
        <v>44</v>
      </c>
      <c r="C49">
        <f t="shared" si="14"/>
        <v>3.1999999999999966</v>
      </c>
      <c r="D49">
        <f t="shared" si="15"/>
        <v>4.8535923083804526</v>
      </c>
      <c r="E49">
        <f t="shared" si="16"/>
        <v>2.2034256296716306</v>
      </c>
    </row>
    <row r="50" spans="2:5" x14ac:dyDescent="0.25">
      <c r="B50">
        <v>45</v>
      </c>
      <c r="C50">
        <f t="shared" si="14"/>
        <v>3.2499999999999964</v>
      </c>
      <c r="D50">
        <f t="shared" si="15"/>
        <v>4.9651701913236757</v>
      </c>
      <c r="E50">
        <f t="shared" si="16"/>
        <v>2.260403816263675</v>
      </c>
    </row>
    <row r="51" spans="2:5" x14ac:dyDescent="0.25">
      <c r="B51">
        <v>46</v>
      </c>
      <c r="C51">
        <f t="shared" si="14"/>
        <v>3.2999999999999963</v>
      </c>
      <c r="D51">
        <f t="shared" si="15"/>
        <v>5.0797035972010347</v>
      </c>
      <c r="E51">
        <f t="shared" si="16"/>
        <v>2.3217418789322299</v>
      </c>
    </row>
    <row r="52" spans="2:5" x14ac:dyDescent="0.25">
      <c r="B52">
        <v>47</v>
      </c>
      <c r="C52">
        <f t="shared" si="14"/>
        <v>3.3499999999999961</v>
      </c>
      <c r="D52">
        <f t="shared" si="15"/>
        <v>5.1974247249591139</v>
      </c>
      <c r="E52">
        <f t="shared" si="16"/>
        <v>2.3880182647317962</v>
      </c>
    </row>
    <row r="53" spans="2:5" x14ac:dyDescent="0.25">
      <c r="B53">
        <v>48</v>
      </c>
      <c r="C53">
        <f t="shared" si="14"/>
        <v>3.3999999999999959</v>
      </c>
      <c r="D53">
        <f t="shared" si="15"/>
        <v>5.318596275454861</v>
      </c>
      <c r="E53">
        <f t="shared" si="16"/>
        <v>2.4598751683675522</v>
      </c>
    </row>
    <row r="54" spans="2:5" x14ac:dyDescent="0.25">
      <c r="B54">
        <v>49</v>
      </c>
      <c r="C54">
        <f t="shared" si="14"/>
        <v>3.4499999999999957</v>
      </c>
      <c r="D54">
        <f t="shared" si="15"/>
        <v>5.4435147584031087</v>
      </c>
      <c r="E54">
        <f t="shared" si="16"/>
        <v>2.5380229010290178</v>
      </c>
    </row>
    <row r="55" spans="2:5" x14ac:dyDescent="0.25">
      <c r="B55">
        <v>50</v>
      </c>
      <c r="C55">
        <f t="shared" si="14"/>
        <v>3.4999999999999956</v>
      </c>
      <c r="D55">
        <f t="shared" si="15"/>
        <v>5.5725139740439351</v>
      </c>
      <c r="E55">
        <f t="shared" si="16"/>
        <v>2.6232422162331002</v>
      </c>
    </row>
    <row r="56" spans="2:5" x14ac:dyDescent="0.25">
      <c r="B56">
        <v>51</v>
      </c>
      <c r="C56">
        <f t="shared" si="14"/>
        <v>3.5499999999999954</v>
      </c>
      <c r="D56">
        <f t="shared" si="15"/>
        <v>5.7059685315004387</v>
      </c>
      <c r="E56">
        <f t="shared" si="16"/>
        <v>2.7163830178061663</v>
      </c>
    </row>
    <row r="57" spans="2:5" x14ac:dyDescent="0.25">
      <c r="B57">
        <v>52</v>
      </c>
      <c r="C57">
        <f t="shared" si="14"/>
        <v>3.5999999999999952</v>
      </c>
      <c r="D57">
        <f t="shared" si="15"/>
        <v>5.8442971690928385</v>
      </c>
      <c r="E57">
        <f t="shared" si="16"/>
        <v>2.8183571069021474</v>
      </c>
    </row>
    <row r="58" spans="2:5" x14ac:dyDescent="0.25">
      <c r="B58">
        <v>53</v>
      </c>
      <c r="C58">
        <f t="shared" si="14"/>
        <v>3.649999999999995</v>
      </c>
      <c r="D58">
        <f t="shared" si="15"/>
        <v>5.9879654997603753</v>
      </c>
      <c r="E58">
        <f t="shared" si="16"/>
        <v>2.9301215710838244</v>
      </c>
    </row>
    <row r="59" spans="2:5" x14ac:dyDescent="0.25">
      <c r="B59">
        <v>54</v>
      </c>
      <c r="C59">
        <f t="shared" si="14"/>
        <v>3.6999999999999948</v>
      </c>
      <c r="D59">
        <f t="shared" si="15"/>
        <v>6.1374876014585293</v>
      </c>
      <c r="E59">
        <f t="shared" si="16"/>
        <v>3.052648032523857</v>
      </c>
    </row>
    <row r="60" spans="2:5" x14ac:dyDescent="0.25">
      <c r="B60">
        <v>55</v>
      </c>
      <c r="C60">
        <f t="shared" si="14"/>
        <v>3.7499999999999947</v>
      </c>
      <c r="D60">
        <f t="shared" si="15"/>
        <v>6.2934255908126762</v>
      </c>
      <c r="E60">
        <f t="shared" si="16"/>
        <v>3.186871262630607</v>
      </c>
    </row>
    <row r="61" spans="2:5" x14ac:dyDescent="0.25">
      <c r="B61">
        <v>56</v>
      </c>
      <c r="C61">
        <f t="shared" si="14"/>
        <v>3.7999999999999945</v>
      </c>
      <c r="D61">
        <f t="shared" si="15"/>
        <v>6.4563859443413385</v>
      </c>
      <c r="E61">
        <f t="shared" si="16"/>
        <v>3.3336087800190137</v>
      </c>
    </row>
    <row r="62" spans="2:5" x14ac:dyDescent="0.25">
      <c r="B62">
        <v>57</v>
      </c>
      <c r="C62">
        <f t="shared" si="14"/>
        <v>3.8499999999999943</v>
      </c>
      <c r="D62">
        <f t="shared" si="15"/>
        <v>6.6270108640693977</v>
      </c>
      <c r="E62">
        <f t="shared" si="16"/>
        <v>3.4934413970730835</v>
      </c>
    </row>
    <row r="63" spans="2:5" x14ac:dyDescent="0.25">
      <c r="B63">
        <v>58</v>
      </c>
      <c r="C63">
        <f t="shared" si="14"/>
        <v>3.8999999999999941</v>
      </c>
      <c r="D63">
        <f t="shared" si="15"/>
        <v>6.8059624541579717</v>
      </c>
      <c r="E63">
        <f t="shared" si="16"/>
        <v>3.6665441827797531</v>
      </c>
    </row>
    <row r="64" spans="2:5" x14ac:dyDescent="0.25">
      <c r="B64">
        <v>59</v>
      </c>
      <c r="C64">
        <f t="shared" si="14"/>
        <v>3.949999999999994</v>
      </c>
      <c r="D64">
        <f t="shared" si="15"/>
        <v>6.9938969773300599</v>
      </c>
      <c r="E64">
        <f t="shared" si="16"/>
        <v>3.85245965809679</v>
      </c>
    </row>
    <row r="65" spans="2:5" x14ac:dyDescent="0.25">
      <c r="B65">
        <v>60</v>
      </c>
      <c r="C65">
        <f t="shared" si="14"/>
        <v>3.9999999999999938</v>
      </c>
      <c r="D65">
        <f t="shared" si="15"/>
        <v>7.1914262004193326</v>
      </c>
      <c r="E65">
        <f t="shared" si="16"/>
        <v>4.0498129234317268</v>
      </c>
    </row>
    <row r="66" spans="2:5" x14ac:dyDescent="0.25">
      <c r="B66">
        <v>61</v>
      </c>
      <c r="C66">
        <f t="shared" si="14"/>
        <v>4.0499999999999936</v>
      </c>
      <c r="D66">
        <f t="shared" si="15"/>
        <v>7.3990631861489735</v>
      </c>
      <c r="E66">
        <f t="shared" si="16"/>
        <v>4.2559853382449857</v>
      </c>
    </row>
    <row r="67" spans="2:5" x14ac:dyDescent="0.25">
      <c r="B67">
        <v>62</v>
      </c>
      <c r="C67">
        <f t="shared" si="14"/>
        <v>4.0999999999999934</v>
      </c>
      <c r="D67">
        <f t="shared" si="15"/>
        <v>7.6171513962022352</v>
      </c>
      <c r="E67">
        <f t="shared" si="16"/>
        <v>4.466792386144645</v>
      </c>
    </row>
    <row r="68" spans="2:5" x14ac:dyDescent="0.25">
      <c r="B68">
        <v>63</v>
      </c>
      <c r="C68">
        <f t="shared" si="14"/>
        <v>4.1499999999999932</v>
      </c>
      <c r="D68">
        <f t="shared" si="15"/>
        <v>7.8457792868805774</v>
      </c>
      <c r="E68">
        <f t="shared" si="16"/>
        <v>4.6762518452515396</v>
      </c>
    </row>
    <row r="69" spans="2:5" x14ac:dyDescent="0.25">
      <c r="B69">
        <v>64</v>
      </c>
      <c r="C69">
        <f t="shared" si="14"/>
        <v>4.1999999999999931</v>
      </c>
      <c r="D69">
        <f t="shared" si="15"/>
        <v>8.0846881241940771</v>
      </c>
      <c r="E69">
        <f t="shared" si="16"/>
        <v>4.8765705852033188</v>
      </c>
    </row>
    <row r="70" spans="2:5" x14ac:dyDescent="0.25">
      <c r="B70">
        <v>65</v>
      </c>
      <c r="C70">
        <f t="shared" si="14"/>
        <v>4.2499999999999929</v>
      </c>
      <c r="D70">
        <f t="shared" si="15"/>
        <v>8.3331880691096778</v>
      </c>
      <c r="E70">
        <f t="shared" si="16"/>
        <v>5.058498029215448</v>
      </c>
    </row>
    <row r="71" spans="2:5" x14ac:dyDescent="0.25">
      <c r="B71">
        <v>66</v>
      </c>
      <c r="C71">
        <f t="shared" si="14"/>
        <v>4.2999999999999927</v>
      </c>
      <c r="D71">
        <f t="shared" si="15"/>
        <v>8.5901045563573</v>
      </c>
      <c r="E71">
        <f t="shared" si="16"/>
        <v>5.2121550608272971</v>
      </c>
    </row>
    <row r="72" spans="2:5" x14ac:dyDescent="0.25">
      <c r="B72">
        <v>67</v>
      </c>
      <c r="C72">
        <f t="shared" si="14"/>
        <v>4.3499999999999925</v>
      </c>
      <c r="D72">
        <f t="shared" si="15"/>
        <v>8.8537795348303181</v>
      </c>
      <c r="E72">
        <f t="shared" si="16"/>
        <v>5.3283198438906778</v>
      </c>
    </row>
    <row r="73" spans="2:5" x14ac:dyDescent="0.25">
      <c r="B73">
        <v>68</v>
      </c>
      <c r="C73">
        <f t="shared" ref="C73:C85" si="17">C72 + $K$2</f>
        <v>4.3999999999999924</v>
      </c>
      <c r="D73">
        <f t="shared" si="15"/>
        <v>9.1221456486622312</v>
      </c>
      <c r="E73">
        <f t="shared" si="16"/>
        <v>5.3999524040896194</v>
      </c>
    </row>
    <row r="74" spans="2:5" x14ac:dyDescent="0.25">
      <c r="B74">
        <v>69</v>
      </c>
      <c r="C74">
        <f t="shared" si="17"/>
        <v>4.4499999999999922</v>
      </c>
      <c r="D74">
        <f t="shared" ref="D74:D85" si="18">D73 + $K$2*(55*E73 - 59*E72 + 37*E71 - 9*E70)/24</f>
        <v>9.3928743287102527</v>
      </c>
      <c r="E74">
        <f t="shared" ref="E74:E85" si="19">SIN(C74 - D74) + C74</f>
        <v>5.4235556318205109</v>
      </c>
    </row>
    <row r="75" spans="2:5" x14ac:dyDescent="0.25">
      <c r="B75">
        <v>70</v>
      </c>
      <c r="C75">
        <f t="shared" si="17"/>
        <v>4.499999999999992</v>
      </c>
      <c r="D75">
        <f t="shared" si="18"/>
        <v>9.6635760090963991</v>
      </c>
      <c r="E75">
        <f t="shared" si="19"/>
        <v>5.3999301515146829</v>
      </c>
    </row>
    <row r="76" spans="2:5" x14ac:dyDescent="0.25">
      <c r="B76">
        <v>71</v>
      </c>
      <c r="C76">
        <f t="shared" si="17"/>
        <v>4.5499999999999918</v>
      </c>
      <c r="D76">
        <f t="shared" si="18"/>
        <v>9.9320129599551432</v>
      </c>
      <c r="E76">
        <f t="shared" si="19"/>
        <v>5.3340551138801153</v>
      </c>
    </row>
    <row r="77" spans="2:5" x14ac:dyDescent="0.25">
      <c r="B77">
        <v>72</v>
      </c>
      <c r="C77">
        <f t="shared" si="17"/>
        <v>4.5999999999999917</v>
      </c>
      <c r="D77">
        <f t="shared" si="18"/>
        <v>10.196281999673044</v>
      </c>
      <c r="E77">
        <f t="shared" si="19"/>
        <v>5.2341458222582062</v>
      </c>
    </row>
    <row r="78" spans="2:5" x14ac:dyDescent="0.25">
      <c r="B78">
        <v>73</v>
      </c>
      <c r="C78">
        <f t="shared" si="17"/>
        <v>4.6499999999999915</v>
      </c>
      <c r="D78">
        <f t="shared" si="18"/>
        <v>10.454936548474988</v>
      </c>
      <c r="E78">
        <f t="shared" si="19"/>
        <v>5.1102251260952158</v>
      </c>
    </row>
    <row r="79" spans="2:5" x14ac:dyDescent="0.25">
      <c r="B79">
        <v>74</v>
      </c>
      <c r="C79">
        <f t="shared" si="17"/>
        <v>4.6999999999999913</v>
      </c>
      <c r="D79">
        <f t="shared" si="18"/>
        <v>10.707037478208186</v>
      </c>
      <c r="E79">
        <f t="shared" si="19"/>
        <v>4.9726514573550986</v>
      </c>
    </row>
    <row r="80" spans="2:5" x14ac:dyDescent="0.25">
      <c r="B80">
        <v>75</v>
      </c>
      <c r="C80">
        <f t="shared" si="17"/>
        <v>4.7499999999999911</v>
      </c>
      <c r="D80">
        <f t="shared" si="18"/>
        <v>10.952140493028072</v>
      </c>
      <c r="E80">
        <f t="shared" si="19"/>
        <v>4.8309561226897699</v>
      </c>
    </row>
    <row r="81" spans="2:5" x14ac:dyDescent="0.25">
      <c r="B81">
        <v>76</v>
      </c>
      <c r="C81">
        <f t="shared" si="17"/>
        <v>4.7999999999999909</v>
      </c>
      <c r="D81">
        <f t="shared" si="18"/>
        <v>11.190238759755541</v>
      </c>
      <c r="E81">
        <f t="shared" si="19"/>
        <v>4.6931509102599414</v>
      </c>
    </row>
    <row r="82" spans="2:5" x14ac:dyDescent="0.25">
      <c r="B82">
        <v>77</v>
      </c>
      <c r="C82">
        <f t="shared" si="17"/>
        <v>4.8499999999999908</v>
      </c>
      <c r="D82">
        <f t="shared" si="18"/>
        <v>11.421682440199046</v>
      </c>
      <c r="E82">
        <f t="shared" si="19"/>
        <v>4.5654882103599483</v>
      </c>
    </row>
    <row r="83" spans="2:5" x14ac:dyDescent="0.25">
      <c r="B83">
        <v>78</v>
      </c>
      <c r="C83">
        <f t="shared" si="17"/>
        <v>4.8999999999999906</v>
      </c>
      <c r="D83">
        <f t="shared" si="18"/>
        <v>11.647093817881935</v>
      </c>
      <c r="E83">
        <f t="shared" si="19"/>
        <v>4.4525530621474818</v>
      </c>
    </row>
    <row r="84" spans="2:5" x14ac:dyDescent="0.25">
      <c r="B84">
        <v>79</v>
      </c>
      <c r="C84">
        <f t="shared" si="17"/>
        <v>4.9499999999999904</v>
      </c>
      <c r="D84">
        <f t="shared" si="18"/>
        <v>11.867290885761694</v>
      </c>
      <c r="E84">
        <f t="shared" si="19"/>
        <v>4.3575427961843536</v>
      </c>
    </row>
    <row r="85" spans="2:5" x14ac:dyDescent="0.25">
      <c r="B85">
        <v>80</v>
      </c>
      <c r="C85">
        <f t="shared" si="17"/>
        <v>4.9999999999999902</v>
      </c>
      <c r="D85">
        <f t="shared" si="18"/>
        <v>12.083226153916728</v>
      </c>
      <c r="E85">
        <f t="shared" si="19"/>
        <v>4.2826154515030854</v>
      </c>
    </row>
  </sheetData>
  <mergeCells count="2">
    <mergeCell ref="A9:A10"/>
    <mergeCell ref="A4:A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9638-C84A-4308-A33D-EDF943B0B5C5}">
  <dimension ref="A1"/>
  <sheetViews>
    <sheetView tabSelected="1" zoomScale="115" zoomScaleNormal="115" workbookViewId="0">
      <selection activeCell="P16" sqref="P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Метод Эйлера</vt:lpstr>
      <vt:lpstr>Метод Рунге-Кутты</vt:lpstr>
      <vt:lpstr>Метод Адамса</vt:lpstr>
      <vt:lpstr>Сравнение методов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Kadarmetov</cp:lastModifiedBy>
  <dcterms:created xsi:type="dcterms:W3CDTF">2015-06-05T18:19:34Z</dcterms:created>
  <dcterms:modified xsi:type="dcterms:W3CDTF">2025-11-16T09:47:09Z</dcterms:modified>
</cp:coreProperties>
</file>