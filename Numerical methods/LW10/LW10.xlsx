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Github\studies\Numerical methods\LW10\"/>
    </mc:Choice>
  </mc:AlternateContent>
  <xr:revisionPtr revIDLastSave="0" documentId="13_ncr:1_{DD50A948-FD0A-48E4-87BB-1019F14B3227}" xr6:coauthVersionLast="47" xr6:coauthVersionMax="47" xr10:uidLastSave="{00000000-0000-0000-0000-000000000000}"/>
  <bookViews>
    <workbookView xWindow="3030" yWindow="1320" windowWidth="21585" windowHeight="11370" firstSheet="1" activeTab="1" xr2:uid="{00000000-000D-0000-FFFF-FFFF00000000}"/>
  </bookViews>
  <sheets>
    <sheet name="Формула трапеций" sheetId="1" r:id="rId1"/>
    <sheet name="Формула Симпсона" sheetId="2" r:id="rId2"/>
    <sheet name="Формула Гаусс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" i="3" l="1"/>
  <c r="J7" i="3"/>
  <c r="J8" i="3"/>
  <c r="J9" i="3"/>
  <c r="J10" i="3"/>
  <c r="J11" i="3"/>
  <c r="J12" i="3"/>
  <c r="J13" i="3"/>
  <c r="J6" i="3"/>
  <c r="H7" i="3"/>
  <c r="H8" i="3"/>
  <c r="H9" i="3"/>
  <c r="H10" i="3"/>
  <c r="H11" i="3"/>
  <c r="H12" i="3"/>
  <c r="H13" i="3"/>
  <c r="H6" i="3"/>
  <c r="M80" i="2"/>
  <c r="M78" i="2"/>
  <c r="J102" i="2"/>
  <c r="J104" i="2"/>
  <c r="J106" i="2"/>
  <c r="J108" i="2"/>
  <c r="J110" i="2"/>
  <c r="J112" i="2"/>
  <c r="J114" i="2"/>
  <c r="J116" i="2"/>
  <c r="J118" i="2"/>
  <c r="J120" i="2"/>
  <c r="J122" i="2"/>
  <c r="J124" i="2"/>
  <c r="J126" i="2"/>
  <c r="J128" i="2"/>
  <c r="J130" i="2"/>
  <c r="J132" i="2"/>
  <c r="J134" i="2"/>
  <c r="J136" i="2"/>
  <c r="J138" i="2"/>
  <c r="J140" i="2"/>
  <c r="J142" i="2"/>
  <c r="J144" i="2"/>
  <c r="J146" i="2"/>
  <c r="J148" i="2"/>
  <c r="J100" i="2"/>
  <c r="J98" i="2"/>
  <c r="J96" i="2"/>
  <c r="J94" i="2"/>
  <c r="J92" i="2"/>
  <c r="J90" i="2"/>
  <c r="J88" i="2"/>
  <c r="J86" i="2"/>
  <c r="J84" i="2"/>
  <c r="J82" i="2"/>
  <c r="J80" i="2"/>
  <c r="J149" i="2"/>
  <c r="J147" i="2"/>
  <c r="J145" i="2"/>
  <c r="J143" i="2"/>
  <c r="J141" i="2"/>
  <c r="J139" i="2"/>
  <c r="J137" i="2"/>
  <c r="J135" i="2"/>
  <c r="J133" i="2"/>
  <c r="J131" i="2"/>
  <c r="J129" i="2"/>
  <c r="J127" i="2"/>
  <c r="J125" i="2"/>
  <c r="J123" i="2"/>
  <c r="J121" i="2"/>
  <c r="J119" i="2"/>
  <c r="J117" i="2"/>
  <c r="J115" i="2"/>
  <c r="J113" i="2"/>
  <c r="J111" i="2"/>
  <c r="J109" i="2"/>
  <c r="J107" i="2"/>
  <c r="J105" i="2"/>
  <c r="J103" i="2"/>
  <c r="J101" i="2"/>
  <c r="J99" i="2"/>
  <c r="J97" i="2"/>
  <c r="J95" i="2"/>
  <c r="J93" i="2"/>
  <c r="J91" i="2"/>
  <c r="J89" i="2"/>
  <c r="J87" i="2"/>
  <c r="J85" i="2"/>
  <c r="J83" i="2"/>
  <c r="J81" i="2"/>
  <c r="J79" i="2"/>
  <c r="J150" i="2"/>
  <c r="J78" i="2"/>
  <c r="F78" i="2"/>
  <c r="M41" i="2"/>
  <c r="M39" i="2"/>
  <c r="J73" i="2"/>
  <c r="J71" i="2"/>
  <c r="J69" i="2"/>
  <c r="J67" i="2"/>
  <c r="J65" i="2"/>
  <c r="J63" i="2"/>
  <c r="J61" i="2"/>
  <c r="J59" i="2"/>
  <c r="J57" i="2"/>
  <c r="J55" i="2"/>
  <c r="J53" i="2"/>
  <c r="J51" i="2"/>
  <c r="J49" i="2"/>
  <c r="J47" i="2"/>
  <c r="J45" i="2"/>
  <c r="J43" i="2"/>
  <c r="J41" i="2"/>
  <c r="J74" i="2"/>
  <c r="J72" i="2"/>
  <c r="J70" i="2"/>
  <c r="J68" i="2"/>
  <c r="J66" i="2"/>
  <c r="J64" i="2"/>
  <c r="J62" i="2"/>
  <c r="J60" i="2"/>
  <c r="J58" i="2"/>
  <c r="J56" i="2"/>
  <c r="J54" i="2"/>
  <c r="J52" i="2"/>
  <c r="J50" i="2"/>
  <c r="J48" i="2"/>
  <c r="J46" i="2"/>
  <c r="J44" i="2"/>
  <c r="J42" i="2"/>
  <c r="J40" i="2"/>
  <c r="J75" i="2"/>
  <c r="J39" i="2"/>
  <c r="F39" i="2"/>
  <c r="M20" i="2"/>
  <c r="M18" i="2"/>
  <c r="J34" i="2"/>
  <c r="J32" i="2"/>
  <c r="J30" i="2"/>
  <c r="J28" i="2"/>
  <c r="J26" i="2"/>
  <c r="J24" i="2"/>
  <c r="J22" i="2"/>
  <c r="J20" i="2"/>
  <c r="J35" i="2"/>
  <c r="J33" i="2"/>
  <c r="J31" i="2"/>
  <c r="J29" i="2"/>
  <c r="J27" i="2"/>
  <c r="J25" i="2"/>
  <c r="J23" i="2"/>
  <c r="J21" i="2"/>
  <c r="J19" i="2"/>
  <c r="J36" i="2"/>
  <c r="J18" i="2"/>
  <c r="F18" i="2"/>
  <c r="J14" i="2"/>
  <c r="J12" i="2"/>
  <c r="J10" i="2"/>
  <c r="J8" i="2"/>
  <c r="J13" i="2"/>
  <c r="J11" i="2"/>
  <c r="J9" i="2"/>
  <c r="J7" i="2"/>
  <c r="J15" i="2"/>
  <c r="J6" i="2"/>
  <c r="F7" i="2"/>
  <c r="I3" i="1"/>
  <c r="M6" i="2" l="1"/>
</calcChain>
</file>

<file path=xl/sharedStrings.xml><?xml version="1.0" encoding="utf-8"?>
<sst xmlns="http://schemas.openxmlformats.org/spreadsheetml/2006/main" count="44" uniqueCount="17">
  <si>
    <t>a</t>
  </si>
  <si>
    <t>b</t>
  </si>
  <si>
    <t>x</t>
  </si>
  <si>
    <t>f(x)</t>
  </si>
  <si>
    <t>I</t>
  </si>
  <si>
    <t>h</t>
  </si>
  <si>
    <t>k</t>
  </si>
  <si>
    <t>2k</t>
  </si>
  <si>
    <t>g(x)</t>
  </si>
  <si>
    <t xml:space="preserve">h </t>
  </si>
  <si>
    <t>Критерий Рунге</t>
  </si>
  <si>
    <t>n</t>
  </si>
  <si>
    <t>C</t>
  </si>
  <si>
    <t>u</t>
  </si>
  <si>
    <t>Cf(u)</t>
  </si>
  <si>
    <t>f(u)</t>
  </si>
  <si>
    <t>I (Формула Симпсона)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</si>
</sst>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"/>
  <sheetViews>
    <sheetView workbookViewId="0">
      <selection activeCell="H14" sqref="H14"/>
    </sheetView>
  </sheetViews>
  <sheetFormatPr defaultRowHeight="15" x14ac:dyDescent="0.25"/>
  <sheetData>
    <row r="2" spans="2:9" x14ac:dyDescent="0.25">
      <c r="E2" t="s">
        <v>2</v>
      </c>
      <c r="F2" t="s">
        <v>3</v>
      </c>
    </row>
    <row r="3" spans="2:9" x14ac:dyDescent="0.25">
      <c r="B3" t="s">
        <v>0</v>
      </c>
      <c r="C3">
        <v>-1</v>
      </c>
      <c r="E3">
        <v>-1</v>
      </c>
      <c r="F3">
        <v>-5.43656366</v>
      </c>
      <c r="H3" t="s">
        <v>4</v>
      </c>
      <c r="I3">
        <f>C7*(F3/2+F4+F5+F6+F7/2)</f>
        <v>-1.7435390549999998</v>
      </c>
    </row>
    <row r="4" spans="2:9" x14ac:dyDescent="0.25">
      <c r="B4" t="s">
        <v>1</v>
      </c>
      <c r="C4">
        <v>2</v>
      </c>
      <c r="E4">
        <v>-0.25</v>
      </c>
      <c r="F4">
        <v>-0.96227569000000002</v>
      </c>
    </row>
    <row r="5" spans="2:9" x14ac:dyDescent="0.25">
      <c r="E5">
        <v>0.5</v>
      </c>
      <c r="F5">
        <v>5.6035939999999999E-2</v>
      </c>
    </row>
    <row r="6" spans="2:9" x14ac:dyDescent="0.25">
      <c r="B6" t="s">
        <v>6</v>
      </c>
      <c r="C6">
        <v>5</v>
      </c>
      <c r="E6">
        <v>1.25</v>
      </c>
      <c r="F6">
        <v>0.62822496999999999</v>
      </c>
    </row>
    <row r="7" spans="2:9" x14ac:dyDescent="0.25">
      <c r="B7" t="s">
        <v>5</v>
      </c>
      <c r="C7">
        <v>0.75</v>
      </c>
      <c r="E7">
        <v>2</v>
      </c>
      <c r="F7">
        <v>1.34315574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5CF17-ACA1-4576-8D1D-229A7AE8905F}">
  <dimension ref="B2:M150"/>
  <sheetViews>
    <sheetView tabSelected="1" topLeftCell="A49" workbookViewId="0">
      <selection activeCell="O48" sqref="O48"/>
    </sheetView>
  </sheetViews>
  <sheetFormatPr defaultRowHeight="15" x14ac:dyDescent="0.25"/>
  <cols>
    <col min="12" max="12" width="10.140625" customWidth="1"/>
    <col min="13" max="13" width="12" bestFit="1" customWidth="1"/>
  </cols>
  <sheetData>
    <row r="2" spans="2:13" x14ac:dyDescent="0.25">
      <c r="B2" t="s">
        <v>0</v>
      </c>
      <c r="C2">
        <v>-1</v>
      </c>
    </row>
    <row r="3" spans="2:13" x14ac:dyDescent="0.25">
      <c r="B3" t="s">
        <v>1</v>
      </c>
      <c r="C3">
        <v>2</v>
      </c>
    </row>
    <row r="5" spans="2:13" x14ac:dyDescent="0.25">
      <c r="H5" t="s">
        <v>2</v>
      </c>
      <c r="I5" t="s">
        <v>3</v>
      </c>
      <c r="J5" t="s">
        <v>8</v>
      </c>
    </row>
    <row r="6" spans="2:13" x14ac:dyDescent="0.25">
      <c r="E6" t="s">
        <v>6</v>
      </c>
      <c r="F6">
        <v>5</v>
      </c>
      <c r="H6">
        <v>-1</v>
      </c>
      <c r="I6">
        <v>-5.43656366</v>
      </c>
      <c r="J6">
        <f>I6</f>
        <v>-5.43656366</v>
      </c>
      <c r="L6" t="s">
        <v>4</v>
      </c>
      <c r="M6">
        <f>F8 / 3 *SUM(J6:J15)</f>
        <v>-1.3411741911111099</v>
      </c>
    </row>
    <row r="7" spans="2:13" x14ac:dyDescent="0.25">
      <c r="E7" t="s">
        <v>7</v>
      </c>
      <c r="F7">
        <f>F6*2</f>
        <v>10</v>
      </c>
      <c r="H7">
        <v>-0.66666667000000002</v>
      </c>
      <c r="I7">
        <v>-2.4601352400000001</v>
      </c>
      <c r="J7">
        <f>4 * I7</f>
        <v>-9.8405409600000002</v>
      </c>
    </row>
    <row r="8" spans="2:13" x14ac:dyDescent="0.25">
      <c r="E8" t="s">
        <v>5</v>
      </c>
      <c r="F8">
        <v>0.33333333333333298</v>
      </c>
      <c r="H8">
        <v>-0.33333332999999998</v>
      </c>
      <c r="I8">
        <v>-1.1678204000000001</v>
      </c>
      <c r="J8">
        <f>2 * I8</f>
        <v>-2.3356408000000002</v>
      </c>
    </row>
    <row r="9" spans="2:13" x14ac:dyDescent="0.25">
      <c r="H9">
        <v>0</v>
      </c>
      <c r="I9">
        <v>-0.5</v>
      </c>
      <c r="J9">
        <f>4 * I9</f>
        <v>-2</v>
      </c>
    </row>
    <row r="10" spans="2:13" x14ac:dyDescent="0.25">
      <c r="H10">
        <v>0.33333332999999998</v>
      </c>
      <c r="I10">
        <v>-9.6910010000000005E-2</v>
      </c>
      <c r="J10">
        <f>2 * I10</f>
        <v>-0.19382002000000001</v>
      </c>
    </row>
    <row r="11" spans="2:13" x14ac:dyDescent="0.25">
      <c r="H11">
        <v>0.66666667000000002</v>
      </c>
      <c r="I11">
        <v>0.19176947</v>
      </c>
      <c r="J11">
        <f>4 * I11</f>
        <v>0.76707787999999999</v>
      </c>
    </row>
    <row r="12" spans="2:13" x14ac:dyDescent="0.25">
      <c r="H12">
        <v>1</v>
      </c>
      <c r="I12">
        <v>0.44056065</v>
      </c>
      <c r="J12">
        <f>2 * I12</f>
        <v>0.8811213</v>
      </c>
    </row>
    <row r="13" spans="2:13" x14ac:dyDescent="0.25">
      <c r="H13">
        <v>1.3333333300000001</v>
      </c>
      <c r="I13">
        <v>0.69386736999999998</v>
      </c>
      <c r="J13">
        <f>4 * I13</f>
        <v>2.7754694799999999</v>
      </c>
    </row>
    <row r="14" spans="2:13" x14ac:dyDescent="0.25">
      <c r="H14">
        <v>1.6666666699999999</v>
      </c>
      <c r="I14">
        <v>0.98458665999999995</v>
      </c>
      <c r="J14">
        <f>2 * I14</f>
        <v>1.9691733199999999</v>
      </c>
    </row>
    <row r="15" spans="2:13" x14ac:dyDescent="0.25">
      <c r="H15">
        <v>2</v>
      </c>
      <c r="I15">
        <v>1.34315574</v>
      </c>
      <c r="J15">
        <f>I15</f>
        <v>1.34315574</v>
      </c>
    </row>
    <row r="17" spans="5:13" x14ac:dyDescent="0.25">
      <c r="H17" t="s">
        <v>2</v>
      </c>
      <c r="I17" t="s">
        <v>3</v>
      </c>
      <c r="J17" t="s">
        <v>8</v>
      </c>
    </row>
    <row r="18" spans="5:13" x14ac:dyDescent="0.25">
      <c r="E18" t="s">
        <v>9</v>
      </c>
      <c r="F18">
        <f xml:space="preserve"> F8 / 2</f>
        <v>0.16666666666666649</v>
      </c>
      <c r="H18">
        <v>-1</v>
      </c>
      <c r="I18">
        <v>-5.43656366</v>
      </c>
      <c r="J18">
        <f>I18</f>
        <v>-5.43656366</v>
      </c>
      <c r="L18" t="s">
        <v>4</v>
      </c>
      <c r="M18">
        <f>F18 / 3 * SUM(J18:J36)</f>
        <v>-1.2057642155555544</v>
      </c>
    </row>
    <row r="19" spans="5:13" x14ac:dyDescent="0.25">
      <c r="H19">
        <v>-0.83333332999999998</v>
      </c>
      <c r="I19">
        <v>-3.6095618100000002</v>
      </c>
      <c r="J19">
        <f>4 * I19</f>
        <v>-14.438247240000001</v>
      </c>
    </row>
    <row r="20" spans="5:13" ht="30" x14ac:dyDescent="0.25">
      <c r="H20">
        <v>-0.66666667000000002</v>
      </c>
      <c r="I20">
        <v>-2.4601352400000001</v>
      </c>
      <c r="J20">
        <f>2 * I20</f>
        <v>-4.9202704800000001</v>
      </c>
      <c r="L20" s="1" t="s">
        <v>10</v>
      </c>
      <c r="M20">
        <f>ABS(M18-M6) / 15</f>
        <v>9.0273317037037042E-3</v>
      </c>
    </row>
    <row r="21" spans="5:13" x14ac:dyDescent="0.25">
      <c r="H21">
        <v>-0.5</v>
      </c>
      <c r="I21">
        <v>-1.69712793</v>
      </c>
      <c r="J21">
        <f>4 * I21</f>
        <v>-6.7885117199999998</v>
      </c>
    </row>
    <row r="22" spans="5:13" x14ac:dyDescent="0.25">
      <c r="H22">
        <v>-0.33333332999999998</v>
      </c>
      <c r="I22">
        <v>-1.1678204000000001</v>
      </c>
      <c r="J22">
        <f>2 * I22</f>
        <v>-2.3356408000000002</v>
      </c>
    </row>
    <row r="23" spans="5:13" x14ac:dyDescent="0.25">
      <c r="H23">
        <v>-0.16666666999999999</v>
      </c>
      <c r="I23">
        <v>-0.78598604000000005</v>
      </c>
      <c r="J23">
        <f>4 * I23</f>
        <v>-3.1439441600000002</v>
      </c>
    </row>
    <row r="24" spans="5:13" x14ac:dyDescent="0.25">
      <c r="H24">
        <v>0</v>
      </c>
      <c r="I24">
        <v>-0.5</v>
      </c>
      <c r="J24">
        <f>2 * I24</f>
        <v>-1</v>
      </c>
    </row>
    <row r="25" spans="5:13" x14ac:dyDescent="0.25">
      <c r="H25">
        <v>0.16666666999999999</v>
      </c>
      <c r="I25">
        <v>-0.27740696999999997</v>
      </c>
      <c r="J25">
        <f>4 * I25</f>
        <v>-1.1096278799999999</v>
      </c>
    </row>
    <row r="26" spans="5:13" x14ac:dyDescent="0.25">
      <c r="H26">
        <v>0.33333332999999998</v>
      </c>
      <c r="I26">
        <v>-9.6910010000000005E-2</v>
      </c>
      <c r="J26">
        <f>2 * I26</f>
        <v>-0.19382002000000001</v>
      </c>
    </row>
    <row r="27" spans="5:13" x14ac:dyDescent="0.25">
      <c r="H27">
        <v>0.5</v>
      </c>
      <c r="I27">
        <v>5.6035939999999999E-2</v>
      </c>
      <c r="J27">
        <f>4 * I27</f>
        <v>0.22414376</v>
      </c>
    </row>
    <row r="28" spans="5:13" x14ac:dyDescent="0.25">
      <c r="H28">
        <v>0.66666667000000002</v>
      </c>
      <c r="I28">
        <v>0.19176947</v>
      </c>
      <c r="J28">
        <f>2 * I28</f>
        <v>0.38353893999999999</v>
      </c>
    </row>
    <row r="29" spans="5:13" x14ac:dyDescent="0.25">
      <c r="H29">
        <v>0.83333332999999998</v>
      </c>
      <c r="I29">
        <v>0.31795797999999997</v>
      </c>
      <c r="J29">
        <f>4 * I29</f>
        <v>1.2718319199999999</v>
      </c>
    </row>
    <row r="30" spans="5:13" x14ac:dyDescent="0.25">
      <c r="H30">
        <v>1</v>
      </c>
      <c r="I30">
        <v>0.44056065</v>
      </c>
      <c r="J30">
        <f>2 * I30</f>
        <v>0.8811213</v>
      </c>
    </row>
    <row r="31" spans="5:13" x14ac:dyDescent="0.25">
      <c r="H31">
        <v>1.1666666699999999</v>
      </c>
      <c r="I31">
        <v>0.56445601000000001</v>
      </c>
      <c r="J31">
        <f>4 * I31</f>
        <v>2.25782404</v>
      </c>
    </row>
    <row r="32" spans="5:13" x14ac:dyDescent="0.25">
      <c r="H32">
        <v>1.3333333300000001</v>
      </c>
      <c r="I32">
        <v>0.69386736999999998</v>
      </c>
      <c r="J32">
        <f>2 * I32</f>
        <v>1.38773474</v>
      </c>
    </row>
    <row r="33" spans="5:13" x14ac:dyDescent="0.25">
      <c r="H33">
        <v>1.5</v>
      </c>
      <c r="I33">
        <v>0.83266424000000006</v>
      </c>
      <c r="J33">
        <f>4 * I33</f>
        <v>3.3306569600000002</v>
      </c>
    </row>
    <row r="34" spans="5:13" x14ac:dyDescent="0.25">
      <c r="H34">
        <v>1.6666666699999999</v>
      </c>
      <c r="I34">
        <v>0.98458665999999995</v>
      </c>
      <c r="J34">
        <f>2 * I34</f>
        <v>1.9691733199999999</v>
      </c>
    </row>
    <row r="35" spans="5:13" x14ac:dyDescent="0.25">
      <c r="H35">
        <v>1.8333333300000001</v>
      </c>
      <c r="I35">
        <v>1.1534223400000001</v>
      </c>
      <c r="J35">
        <f>4 * I35</f>
        <v>4.6136893600000004</v>
      </c>
    </row>
    <row r="36" spans="5:13" x14ac:dyDescent="0.25">
      <c r="H36">
        <v>2</v>
      </c>
      <c r="I36">
        <v>1.34315574</v>
      </c>
      <c r="J36">
        <f>I36</f>
        <v>1.34315574</v>
      </c>
    </row>
    <row r="38" spans="5:13" x14ac:dyDescent="0.25">
      <c r="H38" t="s">
        <v>2</v>
      </c>
      <c r="I38" t="s">
        <v>3</v>
      </c>
      <c r="J38" t="s">
        <v>8</v>
      </c>
    </row>
    <row r="39" spans="5:13" x14ac:dyDescent="0.25">
      <c r="E39" t="s">
        <v>5</v>
      </c>
      <c r="F39">
        <f>F18/2</f>
        <v>8.3333333333333245E-2</v>
      </c>
      <c r="H39">
        <v>-1</v>
      </c>
      <c r="I39">
        <v>-5.43656366</v>
      </c>
      <c r="J39">
        <f>I39</f>
        <v>-5.43656366</v>
      </c>
      <c r="L39" t="s">
        <v>4</v>
      </c>
      <c r="M39">
        <f>F39/3 * SUM(J39:J75)</f>
        <v>-1.2051102377777758</v>
      </c>
    </row>
    <row r="40" spans="5:13" x14ac:dyDescent="0.25">
      <c r="H40">
        <v>-0.91666667000000002</v>
      </c>
      <c r="I40">
        <v>-4.4111468299999999</v>
      </c>
      <c r="J40">
        <f>4*I40</f>
        <v>-17.644587319999999</v>
      </c>
    </row>
    <row r="41" spans="5:13" ht="30" x14ac:dyDescent="0.25">
      <c r="H41">
        <v>-0.83333332999999998</v>
      </c>
      <c r="I41">
        <v>-3.6095618100000002</v>
      </c>
      <c r="J41">
        <f>2*I41</f>
        <v>-7.2191236200000004</v>
      </c>
      <c r="L41" s="1" t="s">
        <v>10</v>
      </c>
      <c r="M41">
        <f>ABS(M39-M18) / 15</f>
        <v>4.359851851856907E-5</v>
      </c>
    </row>
    <row r="42" spans="5:13" x14ac:dyDescent="0.25">
      <c r="H42">
        <v>-0.75</v>
      </c>
      <c r="I42">
        <v>-2.9729013800000001</v>
      </c>
      <c r="J42">
        <f>4*I42</f>
        <v>-11.891605520000001</v>
      </c>
    </row>
    <row r="43" spans="5:13" x14ac:dyDescent="0.25">
      <c r="H43">
        <v>-0.66666667000000002</v>
      </c>
      <c r="I43">
        <v>-2.4601352400000001</v>
      </c>
      <c r="J43">
        <f>2*I43</f>
        <v>-4.9202704800000001</v>
      </c>
    </row>
    <row r="44" spans="5:13" x14ac:dyDescent="0.25">
      <c r="H44">
        <v>-0.58333332999999998</v>
      </c>
      <c r="I44">
        <v>-2.0419879700000001</v>
      </c>
      <c r="J44">
        <f>4*I44</f>
        <v>-8.1679518800000004</v>
      </c>
    </row>
    <row r="45" spans="5:13" x14ac:dyDescent="0.25">
      <c r="H45">
        <v>-0.5</v>
      </c>
      <c r="I45">
        <v>-1.69712793</v>
      </c>
      <c r="J45">
        <f>2*I45</f>
        <v>-3.3942558599999999</v>
      </c>
    </row>
    <row r="46" spans="5:13" x14ac:dyDescent="0.25">
      <c r="H46">
        <v>-0.41666667000000002</v>
      </c>
      <c r="I46">
        <v>-1.40972133</v>
      </c>
      <c r="J46">
        <f>4*I46</f>
        <v>-5.63888532</v>
      </c>
    </row>
    <row r="47" spans="5:13" x14ac:dyDescent="0.25">
      <c r="H47">
        <v>-0.33333332999999998</v>
      </c>
      <c r="I47">
        <v>-1.1678204000000001</v>
      </c>
      <c r="J47">
        <f>2*I47</f>
        <v>-2.3356408000000002</v>
      </c>
    </row>
    <row r="48" spans="5:13" x14ac:dyDescent="0.25">
      <c r="H48">
        <v>-0.25</v>
      </c>
      <c r="I48">
        <v>-0.96227569000000002</v>
      </c>
      <c r="J48">
        <f>4*I48</f>
        <v>-3.8491027600000001</v>
      </c>
    </row>
    <row r="49" spans="8:10" x14ac:dyDescent="0.25">
      <c r="H49">
        <v>-0.16666666999999999</v>
      </c>
      <c r="I49">
        <v>-0.78598604000000005</v>
      </c>
      <c r="J49">
        <f>2*I49</f>
        <v>-1.5719720800000001</v>
      </c>
    </row>
    <row r="50" spans="8:10" x14ac:dyDescent="0.25">
      <c r="H50">
        <v>-8.3333329999999997E-2</v>
      </c>
      <c r="I50">
        <v>-0.63337209000000005</v>
      </c>
      <c r="J50">
        <f>4*I50</f>
        <v>-2.5334883600000002</v>
      </c>
    </row>
    <row r="51" spans="8:10" x14ac:dyDescent="0.25">
      <c r="H51">
        <v>0</v>
      </c>
      <c r="I51">
        <v>-0.5</v>
      </c>
      <c r="J51">
        <f>2*I51</f>
        <v>-1</v>
      </c>
    </row>
    <row r="52" spans="8:10" x14ac:dyDescent="0.25">
      <c r="H52">
        <v>8.3333329999999997E-2</v>
      </c>
      <c r="I52">
        <v>-0.38230830999999998</v>
      </c>
      <c r="J52">
        <f>4*I52</f>
        <v>-1.5292332399999999</v>
      </c>
    </row>
    <row r="53" spans="8:10" x14ac:dyDescent="0.25">
      <c r="H53">
        <v>0.16666666999999999</v>
      </c>
      <c r="I53">
        <v>-0.27740696999999997</v>
      </c>
      <c r="J53">
        <f>2*I53</f>
        <v>-0.55481393999999995</v>
      </c>
    </row>
    <row r="54" spans="8:10" x14ac:dyDescent="0.25">
      <c r="H54">
        <v>0.25</v>
      </c>
      <c r="I54">
        <v>-0.18292755999999999</v>
      </c>
      <c r="J54">
        <f>4*I54</f>
        <v>-0.73171023999999996</v>
      </c>
    </row>
    <row r="55" spans="8:10" x14ac:dyDescent="0.25">
      <c r="H55">
        <v>0.33333332999999998</v>
      </c>
      <c r="I55">
        <v>-9.6910010000000005E-2</v>
      </c>
      <c r="J55">
        <f>2*I55</f>
        <v>-0.19382002000000001</v>
      </c>
    </row>
    <row r="56" spans="8:10" x14ac:dyDescent="0.25">
      <c r="H56">
        <v>0.41666667000000002</v>
      </c>
      <c r="I56">
        <v>-1.7716340000000001E-2</v>
      </c>
      <c r="J56">
        <f>4*I56</f>
        <v>-7.0865360000000002E-2</v>
      </c>
    </row>
    <row r="57" spans="8:10" x14ac:dyDescent="0.25">
      <c r="H57">
        <v>0.5</v>
      </c>
      <c r="I57">
        <v>5.6035939999999999E-2</v>
      </c>
      <c r="J57">
        <f>2*I57</f>
        <v>0.11207188</v>
      </c>
    </row>
    <row r="58" spans="8:10" x14ac:dyDescent="0.25">
      <c r="H58">
        <v>0.58333332999999998</v>
      </c>
      <c r="I58">
        <v>0.12552578</v>
      </c>
      <c r="J58">
        <f>4*I58</f>
        <v>0.50210312000000001</v>
      </c>
    </row>
    <row r="59" spans="8:10" x14ac:dyDescent="0.25">
      <c r="H59">
        <v>0.66666667000000002</v>
      </c>
      <c r="I59">
        <v>0.19176947</v>
      </c>
      <c r="J59">
        <f>2*I59</f>
        <v>0.38353893999999999</v>
      </c>
    </row>
    <row r="60" spans="8:10" x14ac:dyDescent="0.25">
      <c r="H60">
        <v>0.75</v>
      </c>
      <c r="I60">
        <v>0.25565294999999999</v>
      </c>
      <c r="J60">
        <f>4*I60</f>
        <v>1.0226118</v>
      </c>
    </row>
    <row r="61" spans="8:10" x14ac:dyDescent="0.25">
      <c r="H61">
        <v>0.83333332999999998</v>
      </c>
      <c r="I61">
        <v>0.31795797999999997</v>
      </c>
      <c r="J61">
        <f>2*I61</f>
        <v>0.63591595999999995</v>
      </c>
    </row>
    <row r="62" spans="8:10" x14ac:dyDescent="0.25">
      <c r="H62">
        <v>0.91666667000000002</v>
      </c>
      <c r="I62">
        <v>0.37938305</v>
      </c>
      <c r="J62">
        <f>4*I62</f>
        <v>1.5175322</v>
      </c>
    </row>
    <row r="63" spans="8:10" x14ac:dyDescent="0.25">
      <c r="H63">
        <v>1</v>
      </c>
      <c r="I63">
        <v>0.44056065</v>
      </c>
      <c r="J63">
        <f>2*I63</f>
        <v>0.8811213</v>
      </c>
    </row>
    <row r="64" spans="8:10" x14ac:dyDescent="0.25">
      <c r="H64">
        <v>1.0833333300000001</v>
      </c>
      <c r="I64">
        <v>0.50207142999999999</v>
      </c>
      <c r="J64">
        <f>4*I64</f>
        <v>2.0082857199999999</v>
      </c>
    </row>
    <row r="65" spans="5:13" x14ac:dyDescent="0.25">
      <c r="H65">
        <v>1.1666666699999999</v>
      </c>
      <c r="I65">
        <v>0.56445601000000001</v>
      </c>
      <c r="J65">
        <f>2*I65</f>
        <v>1.12891202</v>
      </c>
    </row>
    <row r="66" spans="5:13" x14ac:dyDescent="0.25">
      <c r="H66">
        <v>1.25</v>
      </c>
      <c r="I66">
        <v>0.62822496999999999</v>
      </c>
      <c r="J66">
        <f>4*I66</f>
        <v>2.51289988</v>
      </c>
    </row>
    <row r="67" spans="5:13" x14ac:dyDescent="0.25">
      <c r="H67">
        <v>1.3333333300000001</v>
      </c>
      <c r="I67">
        <v>0.69386736999999998</v>
      </c>
      <c r="J67">
        <f>2*I67</f>
        <v>1.38773474</v>
      </c>
    </row>
    <row r="68" spans="5:13" x14ac:dyDescent="0.25">
      <c r="H68">
        <v>1.4166666699999999</v>
      </c>
      <c r="I68">
        <v>0.76185809000000004</v>
      </c>
      <c r="J68">
        <f>4*I68</f>
        <v>3.0474323600000002</v>
      </c>
    </row>
    <row r="69" spans="5:13" x14ac:dyDescent="0.25">
      <c r="H69">
        <v>1.5</v>
      </c>
      <c r="I69">
        <v>0.83266424000000006</v>
      </c>
      <c r="J69">
        <f>2*I69</f>
        <v>1.6653284800000001</v>
      </c>
    </row>
    <row r="70" spans="5:13" x14ac:dyDescent="0.25">
      <c r="H70">
        <v>1.5833333300000001</v>
      </c>
      <c r="I70">
        <v>0.90675099000000003</v>
      </c>
      <c r="J70">
        <f>4*I70</f>
        <v>3.6270039600000001</v>
      </c>
    </row>
    <row r="71" spans="5:13" x14ac:dyDescent="0.25">
      <c r="H71">
        <v>1.6666666699999999</v>
      </c>
      <c r="I71">
        <v>0.98458665999999995</v>
      </c>
      <c r="J71">
        <f>2*I71</f>
        <v>1.9691733199999999</v>
      </c>
    </row>
    <row r="72" spans="5:13" x14ac:dyDescent="0.25">
      <c r="H72">
        <v>1.75</v>
      </c>
      <c r="I72">
        <v>1.0666475500000001</v>
      </c>
      <c r="J72">
        <f>4*I72</f>
        <v>4.2665902000000004</v>
      </c>
    </row>
    <row r="73" spans="5:13" x14ac:dyDescent="0.25">
      <c r="H73">
        <v>1.8333333300000001</v>
      </c>
      <c r="I73">
        <v>1.1534223400000001</v>
      </c>
      <c r="J73">
        <f>2*I73</f>
        <v>2.3068446800000002</v>
      </c>
    </row>
    <row r="74" spans="5:13" x14ac:dyDescent="0.25">
      <c r="H74">
        <v>1.9166666699999999</v>
      </c>
      <c r="I74">
        <v>1.2454164000000001</v>
      </c>
      <c r="J74">
        <f>4*I74</f>
        <v>4.9816656000000004</v>
      </c>
    </row>
    <row r="75" spans="5:13" x14ac:dyDescent="0.25">
      <c r="H75">
        <v>2</v>
      </c>
      <c r="I75">
        <v>1.34315574</v>
      </c>
      <c r="J75">
        <f>I75</f>
        <v>1.34315574</v>
      </c>
    </row>
    <row r="77" spans="5:13" x14ac:dyDescent="0.25">
      <c r="H77" t="s">
        <v>2</v>
      </c>
      <c r="I77" t="s">
        <v>3</v>
      </c>
      <c r="J77" t="s">
        <v>8</v>
      </c>
    </row>
    <row r="78" spans="5:13" x14ac:dyDescent="0.25">
      <c r="E78" t="s">
        <v>5</v>
      </c>
      <c r="F78">
        <f>F39/2</f>
        <v>4.1666666666666623E-2</v>
      </c>
      <c r="H78">
        <v>-1</v>
      </c>
      <c r="I78">
        <v>-5.43656366</v>
      </c>
      <c r="J78">
        <f>I78</f>
        <v>-5.43656366</v>
      </c>
      <c r="L78" t="s">
        <v>4</v>
      </c>
      <c r="M78">
        <f>F78/3*SUM(J78:J150)</f>
        <v>-1.205066401944443</v>
      </c>
    </row>
    <row r="79" spans="5:13" x14ac:dyDescent="0.25">
      <c r="H79">
        <v>-0.95833332999999998</v>
      </c>
      <c r="I79">
        <v>-4.8912569699999997</v>
      </c>
      <c r="J79">
        <f>4*I79</f>
        <v>-19.565027879999999</v>
      </c>
    </row>
    <row r="80" spans="5:13" ht="30" x14ac:dyDescent="0.25">
      <c r="H80">
        <v>-0.91666667000000002</v>
      </c>
      <c r="I80">
        <v>-4.4111468299999999</v>
      </c>
      <c r="J80">
        <f>2*I80</f>
        <v>-8.8222936599999997</v>
      </c>
      <c r="L80" s="1" t="s">
        <v>10</v>
      </c>
      <c r="M80">
        <f>ABS(M78-M39)/15</f>
        <v>2.9223888888522491E-6</v>
      </c>
    </row>
    <row r="81" spans="8:10" x14ac:dyDescent="0.25">
      <c r="H81">
        <v>-0.875</v>
      </c>
      <c r="I81">
        <v>-3.9865696800000001</v>
      </c>
      <c r="J81">
        <f>4*I81</f>
        <v>-15.94627872</v>
      </c>
    </row>
    <row r="82" spans="8:10" x14ac:dyDescent="0.25">
      <c r="H82">
        <v>-0.83333332999999998</v>
      </c>
      <c r="I82">
        <v>-3.6095618100000002</v>
      </c>
      <c r="J82">
        <f>2*I82</f>
        <v>-7.2191236200000004</v>
      </c>
    </row>
    <row r="83" spans="8:10" x14ac:dyDescent="0.25">
      <c r="H83">
        <v>-0.79166667000000002</v>
      </c>
      <c r="I83">
        <v>-3.2735132999999998</v>
      </c>
      <c r="J83">
        <f>4*I83</f>
        <v>-13.094053199999999</v>
      </c>
    </row>
    <row r="84" spans="8:10" x14ac:dyDescent="0.25">
      <c r="H84">
        <v>-0.75</v>
      </c>
      <c r="I84">
        <v>-2.9729013800000001</v>
      </c>
      <c r="J84">
        <f>2*I84</f>
        <v>-5.9458027600000003</v>
      </c>
    </row>
    <row r="85" spans="8:10" x14ac:dyDescent="0.25">
      <c r="H85">
        <v>-0.70833332999999998</v>
      </c>
      <c r="I85">
        <v>-2.7030836499999999</v>
      </c>
      <c r="J85">
        <f>4*I85</f>
        <v>-10.8123346</v>
      </c>
    </row>
    <row r="86" spans="8:10" x14ac:dyDescent="0.25">
      <c r="H86">
        <v>-0.66666667000000002</v>
      </c>
      <c r="I86">
        <v>-2.4601352400000001</v>
      </c>
      <c r="J86">
        <f>2*I86</f>
        <v>-4.9202704800000001</v>
      </c>
    </row>
    <row r="87" spans="8:10" x14ac:dyDescent="0.25">
      <c r="H87">
        <v>-0.625</v>
      </c>
      <c r="I87">
        <v>-2.24071993</v>
      </c>
      <c r="J87">
        <f>4*I87</f>
        <v>-8.9628797200000001</v>
      </c>
    </row>
    <row r="88" spans="8:10" x14ac:dyDescent="0.25">
      <c r="H88">
        <v>-0.58333332999999998</v>
      </c>
      <c r="I88">
        <v>-2.0419879700000001</v>
      </c>
      <c r="J88">
        <f>2*I88</f>
        <v>-4.0839759400000002</v>
      </c>
    </row>
    <row r="89" spans="8:10" x14ac:dyDescent="0.25">
      <c r="H89">
        <v>-0.54166667000000002</v>
      </c>
      <c r="I89">
        <v>-1.8614935100000001</v>
      </c>
      <c r="J89">
        <f>4*I89</f>
        <v>-7.4459740400000003</v>
      </c>
    </row>
    <row r="90" spans="8:10" x14ac:dyDescent="0.25">
      <c r="H90">
        <v>-0.5</v>
      </c>
      <c r="I90">
        <v>-1.69712793</v>
      </c>
      <c r="J90">
        <f>2*I90</f>
        <v>-3.3942558599999999</v>
      </c>
    </row>
    <row r="91" spans="8:10" x14ac:dyDescent="0.25">
      <c r="H91">
        <v>-0.45833332999999998</v>
      </c>
      <c r="I91">
        <v>-1.5470659899999999</v>
      </c>
      <c r="J91">
        <f>4*I91</f>
        <v>-6.1882639599999996</v>
      </c>
    </row>
    <row r="92" spans="8:10" x14ac:dyDescent="0.25">
      <c r="H92">
        <v>-0.41666667000000002</v>
      </c>
      <c r="I92">
        <v>-1.40972133</v>
      </c>
      <c r="J92">
        <f>2*I92</f>
        <v>-2.81944266</v>
      </c>
    </row>
    <row r="93" spans="8:10" x14ac:dyDescent="0.25">
      <c r="H93">
        <v>-0.375</v>
      </c>
      <c r="I93">
        <v>-1.28370998</v>
      </c>
      <c r="J93">
        <f>4*I93</f>
        <v>-5.1348399200000001</v>
      </c>
    </row>
    <row r="94" spans="8:10" x14ac:dyDescent="0.25">
      <c r="H94">
        <v>-0.33333332999999998</v>
      </c>
      <c r="I94">
        <v>-1.1678204000000001</v>
      </c>
      <c r="J94">
        <f>2*I94</f>
        <v>-2.3356408000000002</v>
      </c>
    </row>
    <row r="95" spans="8:10" x14ac:dyDescent="0.25">
      <c r="H95">
        <v>-0.29166667000000002</v>
      </c>
      <c r="I95">
        <v>-1.0609883200000001</v>
      </c>
      <c r="J95">
        <f>4*I95</f>
        <v>-4.2439532800000004</v>
      </c>
    </row>
    <row r="96" spans="8:10" x14ac:dyDescent="0.25">
      <c r="H96">
        <v>-0.25</v>
      </c>
      <c r="I96">
        <v>-0.96227569000000002</v>
      </c>
      <c r="J96">
        <f>2*I96</f>
        <v>-1.92455138</v>
      </c>
    </row>
    <row r="97" spans="8:10" x14ac:dyDescent="0.25">
      <c r="H97">
        <v>-0.20833333000000001</v>
      </c>
      <c r="I97">
        <v>-0.87085334000000003</v>
      </c>
      <c r="J97">
        <f>4*I97</f>
        <v>-3.4834133600000001</v>
      </c>
    </row>
    <row r="98" spans="8:10" x14ac:dyDescent="0.25">
      <c r="H98">
        <v>-0.16666666999999999</v>
      </c>
      <c r="I98">
        <v>-0.78598604000000005</v>
      </c>
      <c r="J98">
        <f>2*I98</f>
        <v>-1.5719720800000001</v>
      </c>
    </row>
    <row r="99" spans="8:10" x14ac:dyDescent="0.25">
      <c r="H99">
        <v>-0.125</v>
      </c>
      <c r="I99">
        <v>-0.70701994999999995</v>
      </c>
      <c r="J99">
        <f>4*I99</f>
        <v>-2.8280797999999998</v>
      </c>
    </row>
    <row r="100" spans="8:10" x14ac:dyDescent="0.25">
      <c r="H100">
        <v>-8.3333329999999997E-2</v>
      </c>
      <c r="I100">
        <v>-0.63337209000000005</v>
      </c>
      <c r="J100">
        <f>2*I100</f>
        <v>-1.2667441800000001</v>
      </c>
    </row>
    <row r="101" spans="8:10" x14ac:dyDescent="0.25">
      <c r="H101">
        <v>-4.1666670000000003E-2</v>
      </c>
      <c r="I101">
        <v>-0.56452121</v>
      </c>
      <c r="J101">
        <f>4*I101</f>
        <v>-2.25808484</v>
      </c>
    </row>
    <row r="102" spans="8:10" x14ac:dyDescent="0.25">
      <c r="H102">
        <v>0</v>
      </c>
      <c r="I102">
        <v>-0.5</v>
      </c>
      <c r="J102">
        <f>2*I102</f>
        <v>-1</v>
      </c>
    </row>
    <row r="103" spans="8:10" x14ac:dyDescent="0.25">
      <c r="H103">
        <v>4.1666670000000003E-2</v>
      </c>
      <c r="I103">
        <v>-0.43938849000000002</v>
      </c>
      <c r="J103">
        <f>4*I103</f>
        <v>-1.7575539600000001</v>
      </c>
    </row>
    <row r="104" spans="8:10" x14ac:dyDescent="0.25">
      <c r="H104">
        <v>8.3333329999999997E-2</v>
      </c>
      <c r="I104">
        <v>-0.38230830999999998</v>
      </c>
      <c r="J104">
        <f>2*I104</f>
        <v>-0.76461661999999997</v>
      </c>
    </row>
    <row r="105" spans="8:10" x14ac:dyDescent="0.25">
      <c r="H105">
        <v>0.125</v>
      </c>
      <c r="I105">
        <v>-0.32841762000000002</v>
      </c>
      <c r="J105">
        <f>4*I105</f>
        <v>-1.3136704800000001</v>
      </c>
    </row>
    <row r="106" spans="8:10" x14ac:dyDescent="0.25">
      <c r="H106">
        <v>0.16666666999999999</v>
      </c>
      <c r="I106">
        <v>-0.27740696999999997</v>
      </c>
      <c r="J106">
        <f>2*I106</f>
        <v>-0.55481393999999995</v>
      </c>
    </row>
    <row r="107" spans="8:10" x14ac:dyDescent="0.25">
      <c r="H107">
        <v>0.20833333000000001</v>
      </c>
      <c r="I107">
        <v>-0.22899549</v>
      </c>
      <c r="J107">
        <f>4*I107</f>
        <v>-0.91598195999999998</v>
      </c>
    </row>
    <row r="108" spans="8:10" x14ac:dyDescent="0.25">
      <c r="H108">
        <v>0.25</v>
      </c>
      <c r="I108">
        <v>-0.18292755999999999</v>
      </c>
      <c r="J108">
        <f>2*I108</f>
        <v>-0.36585511999999998</v>
      </c>
    </row>
    <row r="109" spans="8:10" x14ac:dyDescent="0.25">
      <c r="H109">
        <v>0.29166667000000002</v>
      </c>
      <c r="I109">
        <v>-0.13897010000000001</v>
      </c>
      <c r="J109">
        <f>4*I109</f>
        <v>-0.55588040000000005</v>
      </c>
    </row>
    <row r="110" spans="8:10" x14ac:dyDescent="0.25">
      <c r="H110">
        <v>0.33333332999999998</v>
      </c>
      <c r="I110">
        <v>-9.6910010000000005E-2</v>
      </c>
      <c r="J110">
        <f>2*I110</f>
        <v>-0.19382002000000001</v>
      </c>
    </row>
    <row r="111" spans="8:10" x14ac:dyDescent="0.25">
      <c r="H111">
        <v>0.375</v>
      </c>
      <c r="I111">
        <v>-5.6551909999999997E-2</v>
      </c>
      <c r="J111">
        <f>4*I111</f>
        <v>-0.22620763999999999</v>
      </c>
    </row>
    <row r="112" spans="8:10" x14ac:dyDescent="0.25">
      <c r="H112">
        <v>0.41666667000000002</v>
      </c>
      <c r="I112">
        <v>-1.7716340000000001E-2</v>
      </c>
      <c r="J112">
        <f>2*I112</f>
        <v>-3.5432680000000001E-2</v>
      </c>
    </row>
    <row r="113" spans="8:10" x14ac:dyDescent="0.25">
      <c r="H113">
        <v>0.45833332999999998</v>
      </c>
      <c r="I113">
        <v>1.9762040000000002E-2</v>
      </c>
      <c r="J113">
        <f>4*I113</f>
        <v>7.9048160000000006E-2</v>
      </c>
    </row>
    <row r="114" spans="8:10" x14ac:dyDescent="0.25">
      <c r="H114">
        <v>0.5</v>
      </c>
      <c r="I114">
        <v>5.6035939999999999E-2</v>
      </c>
      <c r="J114">
        <f>2*I114</f>
        <v>0.11207188</v>
      </c>
    </row>
    <row r="115" spans="8:10" x14ac:dyDescent="0.25">
      <c r="H115">
        <v>0.54166667000000002</v>
      </c>
      <c r="I115">
        <v>9.1246750000000001E-2</v>
      </c>
      <c r="J115">
        <f>4*I115</f>
        <v>0.36498700000000001</v>
      </c>
    </row>
    <row r="116" spans="8:10" x14ac:dyDescent="0.25">
      <c r="H116">
        <v>0.58333332999999998</v>
      </c>
      <c r="I116">
        <v>0.12552578</v>
      </c>
      <c r="J116">
        <f>2*I116</f>
        <v>0.25105156000000001</v>
      </c>
    </row>
    <row r="117" spans="8:10" x14ac:dyDescent="0.25">
      <c r="H117">
        <v>0.625</v>
      </c>
      <c r="I117">
        <v>0.15899530000000001</v>
      </c>
      <c r="J117">
        <f>4*I117</f>
        <v>0.63598120000000002</v>
      </c>
    </row>
    <row r="118" spans="8:10" x14ac:dyDescent="0.25">
      <c r="H118">
        <v>0.66666667000000002</v>
      </c>
      <c r="I118">
        <v>0.19176947</v>
      </c>
      <c r="J118">
        <f>2*I118</f>
        <v>0.38353893999999999</v>
      </c>
    </row>
    <row r="119" spans="8:10" x14ac:dyDescent="0.25">
      <c r="H119">
        <v>0.70833332999999998</v>
      </c>
      <c r="I119">
        <v>0.22395519999999999</v>
      </c>
      <c r="J119">
        <f>4*I119</f>
        <v>0.89582079999999997</v>
      </c>
    </row>
    <row r="120" spans="8:10" x14ac:dyDescent="0.25">
      <c r="H120">
        <v>0.75</v>
      </c>
      <c r="I120">
        <v>0.25565294999999999</v>
      </c>
      <c r="J120">
        <f>2*I120</f>
        <v>0.51130589999999998</v>
      </c>
    </row>
    <row r="121" spans="8:10" x14ac:dyDescent="0.25">
      <c r="H121">
        <v>0.79166667000000002</v>
      </c>
      <c r="I121">
        <v>0.28695738999999998</v>
      </c>
      <c r="J121">
        <f>4*I121</f>
        <v>1.1478295599999999</v>
      </c>
    </row>
    <row r="122" spans="8:10" x14ac:dyDescent="0.25">
      <c r="H122">
        <v>0.83333332999999998</v>
      </c>
      <c r="I122">
        <v>0.31795797999999997</v>
      </c>
      <c r="J122">
        <f>2*I122</f>
        <v>0.63591595999999995</v>
      </c>
    </row>
    <row r="123" spans="8:10" x14ac:dyDescent="0.25">
      <c r="H123">
        <v>0.875</v>
      </c>
      <c r="I123">
        <v>0.34873960999999998</v>
      </c>
      <c r="J123">
        <f>4*I123</f>
        <v>1.3949584399999999</v>
      </c>
    </row>
    <row r="124" spans="8:10" x14ac:dyDescent="0.25">
      <c r="H124">
        <v>0.91666667000000002</v>
      </c>
      <c r="I124">
        <v>0.37938305</v>
      </c>
      <c r="J124">
        <f>2*I124</f>
        <v>0.7587661</v>
      </c>
    </row>
    <row r="125" spans="8:10" x14ac:dyDescent="0.25">
      <c r="H125">
        <v>0.95833332999999998</v>
      </c>
      <c r="I125">
        <v>0.40996543000000002</v>
      </c>
      <c r="J125">
        <f>4*I125</f>
        <v>1.6398617200000001</v>
      </c>
    </row>
    <row r="126" spans="8:10" x14ac:dyDescent="0.25">
      <c r="H126">
        <v>1</v>
      </c>
      <c r="I126">
        <v>0.44056065</v>
      </c>
      <c r="J126">
        <f>2*I126</f>
        <v>0.8811213</v>
      </c>
    </row>
    <row r="127" spans="8:10" x14ac:dyDescent="0.25">
      <c r="H127">
        <v>1.0416666699999999</v>
      </c>
      <c r="I127">
        <v>0.47123979999999999</v>
      </c>
      <c r="J127">
        <f>4*I127</f>
        <v>1.8849591999999999</v>
      </c>
    </row>
    <row r="128" spans="8:10" x14ac:dyDescent="0.25">
      <c r="H128">
        <v>1.0833333300000001</v>
      </c>
      <c r="I128">
        <v>0.50207142999999999</v>
      </c>
      <c r="J128">
        <f>2*I128</f>
        <v>1.00414286</v>
      </c>
    </row>
    <row r="129" spans="8:10" x14ac:dyDescent="0.25">
      <c r="H129">
        <v>1.125</v>
      </c>
      <c r="I129">
        <v>0.53312198</v>
      </c>
      <c r="J129">
        <f>4*I129</f>
        <v>2.13248792</v>
      </c>
    </row>
    <row r="130" spans="8:10" x14ac:dyDescent="0.25">
      <c r="H130">
        <v>1.1666666699999999</v>
      </c>
      <c r="I130">
        <v>0.56445601000000001</v>
      </c>
      <c r="J130">
        <f>2*I130</f>
        <v>1.12891202</v>
      </c>
    </row>
    <row r="131" spans="8:10" x14ac:dyDescent="0.25">
      <c r="H131">
        <v>1.2083333300000001</v>
      </c>
      <c r="I131">
        <v>0.59613645999999998</v>
      </c>
      <c r="J131">
        <f>4*I131</f>
        <v>2.3845458399999999</v>
      </c>
    </row>
    <row r="132" spans="8:10" x14ac:dyDescent="0.25">
      <c r="H132">
        <v>1.25</v>
      </c>
      <c r="I132">
        <v>0.62822496999999999</v>
      </c>
      <c r="J132">
        <f>2*I132</f>
        <v>1.25644994</v>
      </c>
    </row>
    <row r="133" spans="8:10" x14ac:dyDescent="0.25">
      <c r="H133">
        <v>1.2916666699999999</v>
      </c>
      <c r="I133">
        <v>0.66078205999999995</v>
      </c>
      <c r="J133">
        <f>4*I133</f>
        <v>2.6431282399999998</v>
      </c>
    </row>
    <row r="134" spans="8:10" x14ac:dyDescent="0.25">
      <c r="H134">
        <v>1.3333333300000001</v>
      </c>
      <c r="I134">
        <v>0.69386736999999998</v>
      </c>
      <c r="J134">
        <f>2*I134</f>
        <v>1.38773474</v>
      </c>
    </row>
    <row r="135" spans="8:10" x14ac:dyDescent="0.25">
      <c r="H135">
        <v>1.375</v>
      </c>
      <c r="I135">
        <v>0.72753988000000003</v>
      </c>
      <c r="J135">
        <f>4*I135</f>
        <v>2.9101595200000001</v>
      </c>
    </row>
    <row r="136" spans="8:10" x14ac:dyDescent="0.25">
      <c r="H136">
        <v>1.4166666699999999</v>
      </c>
      <c r="I136">
        <v>0.76185809000000004</v>
      </c>
      <c r="J136">
        <f>2*I136</f>
        <v>1.5237161800000001</v>
      </c>
    </row>
    <row r="137" spans="8:10" x14ac:dyDescent="0.25">
      <c r="H137">
        <v>1.4583333300000001</v>
      </c>
      <c r="I137">
        <v>0.79688017</v>
      </c>
      <c r="J137">
        <f>4*I137</f>
        <v>3.18752068</v>
      </c>
    </row>
    <row r="138" spans="8:10" x14ac:dyDescent="0.25">
      <c r="H138">
        <v>1.5</v>
      </c>
      <c r="I138">
        <v>0.83266424000000006</v>
      </c>
      <c r="J138">
        <f>2*I138</f>
        <v>1.6653284800000001</v>
      </c>
    </row>
    <row r="139" spans="8:10" x14ac:dyDescent="0.25">
      <c r="H139">
        <v>1.5416666699999999</v>
      </c>
      <c r="I139">
        <v>0.86926840999999999</v>
      </c>
      <c r="J139">
        <f>4*I139</f>
        <v>3.47707364</v>
      </c>
    </row>
    <row r="140" spans="8:10" x14ac:dyDescent="0.25">
      <c r="H140">
        <v>1.5833333300000001</v>
      </c>
      <c r="I140">
        <v>0.90675099000000003</v>
      </c>
      <c r="J140">
        <f>2*I140</f>
        <v>1.8135019800000001</v>
      </c>
    </row>
    <row r="141" spans="8:10" x14ac:dyDescent="0.25">
      <c r="H141">
        <v>1.625</v>
      </c>
      <c r="I141">
        <v>0.94517068000000004</v>
      </c>
      <c r="J141">
        <f>4*I141</f>
        <v>3.7806827200000002</v>
      </c>
    </row>
    <row r="142" spans="8:10" x14ac:dyDescent="0.25">
      <c r="H142">
        <v>1.6666666699999999</v>
      </c>
      <c r="I142">
        <v>0.98458665999999995</v>
      </c>
      <c r="J142">
        <f>2*I142</f>
        <v>1.9691733199999999</v>
      </c>
    </row>
    <row r="143" spans="8:10" x14ac:dyDescent="0.25">
      <c r="H143">
        <v>1.7083333300000001</v>
      </c>
      <c r="I143">
        <v>1.0250587499999999</v>
      </c>
      <c r="J143">
        <f>4*I143</f>
        <v>4.1002349999999996</v>
      </c>
    </row>
    <row r="144" spans="8:10" x14ac:dyDescent="0.25">
      <c r="H144">
        <v>1.75</v>
      </c>
      <c r="I144">
        <v>1.0666475500000001</v>
      </c>
      <c r="J144">
        <f>2*I144</f>
        <v>2.1332951000000002</v>
      </c>
    </row>
    <row r="145" spans="8:10" x14ac:dyDescent="0.25">
      <c r="H145">
        <v>1.7916666699999999</v>
      </c>
      <c r="I145">
        <v>1.10941457</v>
      </c>
      <c r="J145">
        <f>4*I145</f>
        <v>4.43765828</v>
      </c>
    </row>
    <row r="146" spans="8:10" x14ac:dyDescent="0.25">
      <c r="H146">
        <v>1.8333333300000001</v>
      </c>
      <c r="I146">
        <v>1.1534223400000001</v>
      </c>
      <c r="J146">
        <f>2*I146</f>
        <v>2.3068446800000002</v>
      </c>
    </row>
    <row r="147" spans="8:10" x14ac:dyDescent="0.25">
      <c r="H147">
        <v>1.875</v>
      </c>
      <c r="I147">
        <v>1.19873462</v>
      </c>
      <c r="J147">
        <f>4*I147</f>
        <v>4.7949384799999999</v>
      </c>
    </row>
    <row r="148" spans="8:10" x14ac:dyDescent="0.25">
      <c r="H148">
        <v>1.9166666699999999</v>
      </c>
      <c r="I148">
        <v>1.2454164000000001</v>
      </c>
      <c r="J148">
        <f>2*I148</f>
        <v>2.4908328000000002</v>
      </c>
    </row>
    <row r="149" spans="8:10" x14ac:dyDescent="0.25">
      <c r="H149">
        <v>1.9583333300000001</v>
      </c>
      <c r="I149">
        <v>1.2935341</v>
      </c>
      <c r="J149">
        <f>4*I149</f>
        <v>5.1741364000000001</v>
      </c>
    </row>
    <row r="150" spans="8:10" x14ac:dyDescent="0.25">
      <c r="H150">
        <v>2</v>
      </c>
      <c r="I150">
        <v>1.34315574</v>
      </c>
      <c r="J150">
        <f>I150</f>
        <v>1.34315574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30B2-949E-4FA2-B3CE-F779D2ED1D9B}">
  <dimension ref="B2:M16"/>
  <sheetViews>
    <sheetView workbookViewId="0">
      <selection activeCell="L13" sqref="L13"/>
    </sheetView>
  </sheetViews>
  <sheetFormatPr defaultRowHeight="15" x14ac:dyDescent="0.25"/>
  <cols>
    <col min="12" max="12" width="11.42578125" customWidth="1"/>
    <col min="13" max="13" width="14.140625" customWidth="1"/>
  </cols>
  <sheetData>
    <row r="2" spans="2:13" x14ac:dyDescent="0.25">
      <c r="B2" t="s">
        <v>0</v>
      </c>
      <c r="C2">
        <v>-1</v>
      </c>
    </row>
    <row r="3" spans="2:13" x14ac:dyDescent="0.25">
      <c r="B3" t="s">
        <v>1</v>
      </c>
      <c r="C3">
        <v>2</v>
      </c>
    </row>
    <row r="5" spans="2:13" x14ac:dyDescent="0.25">
      <c r="E5" t="s">
        <v>11</v>
      </c>
      <c r="F5" t="s">
        <v>2</v>
      </c>
      <c r="G5" t="s">
        <v>12</v>
      </c>
      <c r="H5" t="s">
        <v>13</v>
      </c>
      <c r="I5" t="s">
        <v>15</v>
      </c>
      <c r="J5" t="s">
        <v>14</v>
      </c>
    </row>
    <row r="6" spans="2:13" x14ac:dyDescent="0.25">
      <c r="E6">
        <v>1</v>
      </c>
      <c r="F6">
        <v>-0.96028985649753995</v>
      </c>
      <c r="G6">
        <v>0.10122853629037599</v>
      </c>
      <c r="H6">
        <f>($C$2+$C$3)/2 + ($C$3-$C$2)*F6/2</f>
        <v>-0.94043478474630993</v>
      </c>
      <c r="I6">
        <v>-4.67763843</v>
      </c>
      <c r="J6">
        <f>G6*I6</f>
        <v>-0.47351049156451241</v>
      </c>
      <c r="L6" t="s">
        <v>4</v>
      </c>
      <c r="M6">
        <f>(C3-C2)/2*SUM(J6:J13)</f>
        <v>-1.2050604239493115</v>
      </c>
    </row>
    <row r="7" spans="2:13" x14ac:dyDescent="0.25">
      <c r="E7">
        <v>2</v>
      </c>
      <c r="F7">
        <v>-0.79666647741362995</v>
      </c>
      <c r="G7">
        <v>0.22238103445337401</v>
      </c>
      <c r="H7">
        <f t="shared" ref="H7:H13" si="0">($C$2+$C$3)/2 + ($C$3-$C$2)*F7/2</f>
        <v>-0.69499971612044487</v>
      </c>
      <c r="I7">
        <v>-2.6225855999999999</v>
      </c>
      <c r="J7">
        <f t="shared" ref="J7:J13" si="1">G7*I7</f>
        <v>-0.58321329867052252</v>
      </c>
    </row>
    <row r="8" spans="2:13" ht="28.5" customHeight="1" x14ac:dyDescent="0.25">
      <c r="E8">
        <v>3</v>
      </c>
      <c r="F8">
        <v>-0.52553240991632999</v>
      </c>
      <c r="G8">
        <v>0.31370664587788699</v>
      </c>
      <c r="H8">
        <f t="shared" si="0"/>
        <v>-0.28829861487449504</v>
      </c>
      <c r="I8">
        <v>-1.05271917</v>
      </c>
      <c r="J8">
        <f t="shared" si="1"/>
        <v>-0.33024499987205314</v>
      </c>
      <c r="L8" s="1" t="s">
        <v>16</v>
      </c>
      <c r="M8">
        <v>-1.205066401944443</v>
      </c>
    </row>
    <row r="9" spans="2:13" x14ac:dyDescent="0.25">
      <c r="E9">
        <v>4</v>
      </c>
      <c r="F9">
        <v>-0.18343464249565</v>
      </c>
      <c r="G9">
        <v>0.36268378337836199</v>
      </c>
      <c r="H9">
        <f t="shared" si="0"/>
        <v>0.224848036256525</v>
      </c>
      <c r="I9">
        <v>-0.21046941999999999</v>
      </c>
      <c r="J9">
        <f t="shared" si="1"/>
        <v>-7.633384553104948E-2</v>
      </c>
      <c r="K9" s="2"/>
    </row>
    <row r="10" spans="2:13" x14ac:dyDescent="0.25">
      <c r="E10">
        <v>5</v>
      </c>
      <c r="F10">
        <v>0.18343464249565</v>
      </c>
      <c r="G10">
        <v>0.36268378337836199</v>
      </c>
      <c r="H10">
        <f t="shared" si="0"/>
        <v>0.77515196374347495</v>
      </c>
      <c r="I10">
        <v>0.27459101000000002</v>
      </c>
      <c r="J10">
        <f t="shared" si="1"/>
        <v>9.9589706388485646E-2</v>
      </c>
      <c r="K10" s="2"/>
    </row>
    <row r="11" spans="2:13" x14ac:dyDescent="0.25">
      <c r="E11">
        <v>6</v>
      </c>
      <c r="F11">
        <v>0.52553240991632999</v>
      </c>
      <c r="G11">
        <v>0.31370664587788699</v>
      </c>
      <c r="H11">
        <f t="shared" si="0"/>
        <v>1.288298614874495</v>
      </c>
      <c r="I11">
        <v>0.65813153999999996</v>
      </c>
      <c r="J11">
        <f t="shared" si="1"/>
        <v>0.20646023795984841</v>
      </c>
      <c r="K11" s="2"/>
    </row>
    <row r="12" spans="2:13" x14ac:dyDescent="0.25">
      <c r="E12">
        <v>7</v>
      </c>
      <c r="F12">
        <v>0.79666647741362995</v>
      </c>
      <c r="G12">
        <v>0.22238103445337401</v>
      </c>
      <c r="H12">
        <f t="shared" si="0"/>
        <v>1.6949997161204449</v>
      </c>
      <c r="I12">
        <v>1.01198882</v>
      </c>
      <c r="J12">
        <f t="shared" si="1"/>
        <v>0.22504712064684931</v>
      </c>
      <c r="K12" s="2"/>
    </row>
    <row r="13" spans="2:13" x14ac:dyDescent="0.25">
      <c r="E13">
        <v>8</v>
      </c>
      <c r="F13">
        <v>0.96028985649753995</v>
      </c>
      <c r="G13">
        <v>0.10122853629037599</v>
      </c>
      <c r="H13">
        <f t="shared" si="0"/>
        <v>1.9404347847463099</v>
      </c>
      <c r="I13">
        <v>1.2726841600000001</v>
      </c>
      <c r="J13">
        <f t="shared" si="1"/>
        <v>0.12883195467674668</v>
      </c>
      <c r="K13" s="2"/>
    </row>
    <row r="14" spans="2:13" x14ac:dyDescent="0.25">
      <c r="K14" s="2"/>
    </row>
    <row r="15" spans="2:13" x14ac:dyDescent="0.25">
      <c r="K15" s="2"/>
    </row>
    <row r="16" spans="2:13" x14ac:dyDescent="0.25">
      <c r="K1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Формула трапеций</vt:lpstr>
      <vt:lpstr>Формула Симпсона</vt:lpstr>
      <vt:lpstr>Формула Гаусса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Dmitry Kadarmetov</cp:lastModifiedBy>
  <dcterms:created xsi:type="dcterms:W3CDTF">2015-06-05T18:19:34Z</dcterms:created>
  <dcterms:modified xsi:type="dcterms:W3CDTF">2025-11-15T13:42:15Z</dcterms:modified>
</cp:coreProperties>
</file>