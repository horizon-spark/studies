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tudies\Data Analysis\LW2\"/>
    </mc:Choice>
  </mc:AlternateContent>
  <xr:revisionPtr revIDLastSave="0" documentId="13_ncr:1_{CCA8B7E6-21A7-4E55-BFE2-8C7A99CDA52E}" xr6:coauthVersionLast="47" xr6:coauthVersionMax="47" xr10:uidLastSave="{00000000-0000-0000-0000-000000000000}"/>
  <bookViews>
    <workbookView xWindow="-120" yWindow="-120" windowWidth="29040" windowHeight="15840" xr2:uid="{11F8D853-8055-46C7-AB01-CAA01CE950E2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N35" i="1"/>
  <c r="V20" i="1" s="1"/>
  <c r="W20" i="1" s="1"/>
  <c r="O35" i="1"/>
  <c r="Z16" i="1" s="1"/>
  <c r="AA16" i="1" s="1"/>
  <c r="N36" i="1"/>
  <c r="O36" i="1"/>
  <c r="N38" i="1"/>
  <c r="O38" i="1"/>
  <c r="N39" i="1"/>
  <c r="O39" i="1"/>
  <c r="O41" i="1" s="1"/>
  <c r="N41" i="1"/>
  <c r="Z30" i="1" l="1"/>
  <c r="AA30" i="1" s="1"/>
  <c r="V28" i="1"/>
  <c r="W28" i="1" s="1"/>
  <c r="Z24" i="1"/>
  <c r="AA24" i="1" s="1"/>
  <c r="V22" i="1"/>
  <c r="W22" i="1" s="1"/>
  <c r="Z18" i="1"/>
  <c r="AA18" i="1" s="1"/>
  <c r="V16" i="1"/>
  <c r="W16" i="1" s="1"/>
  <c r="Z12" i="1"/>
  <c r="AA12" i="1" s="1"/>
  <c r="V10" i="1"/>
  <c r="W10" i="1" s="1"/>
  <c r="Z6" i="1"/>
  <c r="AA6" i="1" s="1"/>
  <c r="V4" i="1"/>
  <c r="W4" i="1" s="1"/>
  <c r="Z29" i="1"/>
  <c r="AA29" i="1" s="1"/>
  <c r="V27" i="1"/>
  <c r="W27" i="1" s="1"/>
  <c r="Z23" i="1"/>
  <c r="AA23" i="1" s="1"/>
  <c r="V21" i="1"/>
  <c r="W21" i="1" s="1"/>
  <c r="Z17" i="1"/>
  <c r="AA17" i="1" s="1"/>
  <c r="V15" i="1"/>
  <c r="W15" i="1" s="1"/>
  <c r="Z11" i="1"/>
  <c r="AA11" i="1" s="1"/>
  <c r="V9" i="1"/>
  <c r="W9" i="1" s="1"/>
  <c r="Z5" i="1"/>
  <c r="AA5" i="1" s="1"/>
  <c r="V3" i="1"/>
  <c r="W3" i="1" s="1"/>
  <c r="Z32" i="1"/>
  <c r="AA32" i="1" s="1"/>
  <c r="V30" i="1"/>
  <c r="W30" i="1" s="1"/>
  <c r="Z26" i="1"/>
  <c r="AA26" i="1" s="1"/>
  <c r="V24" i="1"/>
  <c r="W24" i="1" s="1"/>
  <c r="Z20" i="1"/>
  <c r="AA20" i="1" s="1"/>
  <c r="V18" i="1"/>
  <c r="W18" i="1" s="1"/>
  <c r="Z14" i="1"/>
  <c r="AA14" i="1" s="1"/>
  <c r="V12" i="1"/>
  <c r="W12" i="1" s="1"/>
  <c r="Z8" i="1"/>
  <c r="AA8" i="1" s="1"/>
  <c r="V6" i="1"/>
  <c r="W6" i="1" s="1"/>
  <c r="Z2" i="1"/>
  <c r="AA2" i="1" s="1"/>
  <c r="Z31" i="1"/>
  <c r="AA31" i="1" s="1"/>
  <c r="V29" i="1"/>
  <c r="W29" i="1" s="1"/>
  <c r="Z25" i="1"/>
  <c r="AA25" i="1" s="1"/>
  <c r="V23" i="1"/>
  <c r="W23" i="1" s="1"/>
  <c r="Z19" i="1"/>
  <c r="AA19" i="1" s="1"/>
  <c r="V17" i="1"/>
  <c r="W17" i="1" s="1"/>
  <c r="Z13" i="1"/>
  <c r="AA13" i="1" s="1"/>
  <c r="V11" i="1"/>
  <c r="W11" i="1" s="1"/>
  <c r="Z7" i="1"/>
  <c r="AA7" i="1" s="1"/>
  <c r="V5" i="1"/>
  <c r="W5" i="1" s="1"/>
  <c r="V31" i="1"/>
  <c r="W31" i="1" s="1"/>
  <c r="Z27" i="1"/>
  <c r="AA27" i="1" s="1"/>
  <c r="V25" i="1"/>
  <c r="W25" i="1" s="1"/>
  <c r="Z21" i="1"/>
  <c r="AA21" i="1" s="1"/>
  <c r="V19" i="1"/>
  <c r="W19" i="1" s="1"/>
  <c r="Z15" i="1"/>
  <c r="AA15" i="1" s="1"/>
  <c r="V13" i="1"/>
  <c r="W13" i="1" s="1"/>
  <c r="Z9" i="1"/>
  <c r="AA9" i="1" s="1"/>
  <c r="V7" i="1"/>
  <c r="W7" i="1" s="1"/>
  <c r="Z3" i="1"/>
  <c r="AA3" i="1" s="1"/>
  <c r="V32" i="1"/>
  <c r="W32" i="1" s="1"/>
  <c r="V14" i="1"/>
  <c r="W14" i="1" s="1"/>
  <c r="Z10" i="1"/>
  <c r="AA10" i="1" s="1"/>
  <c r="V8" i="1"/>
  <c r="W8" i="1" s="1"/>
  <c r="Z4" i="1"/>
  <c r="AA4" i="1" s="1"/>
  <c r="V2" i="1"/>
  <c r="W2" i="1" s="1"/>
  <c r="Z28" i="1"/>
  <c r="AA28" i="1" s="1"/>
  <c r="V26" i="1"/>
  <c r="W26" i="1" s="1"/>
  <c r="Z22" i="1"/>
  <c r="AA22" i="1" s="1"/>
  <c r="N42" i="1" l="1"/>
  <c r="N43" i="1" s="1"/>
  <c r="O42" i="1"/>
  <c r="O43" i="1" s="1"/>
</calcChain>
</file>

<file path=xl/sharedStrings.xml><?xml version="1.0" encoding="utf-8"?>
<sst xmlns="http://schemas.openxmlformats.org/spreadsheetml/2006/main" count="218" uniqueCount="138">
  <si>
    <r>
      <rPr>
        <sz val="11"/>
        <color theme="1"/>
        <rFont val="Courier New"/>
        <family val="3"/>
        <charset val="204"/>
      </rPr>
      <t>σ</t>
    </r>
    <r>
      <rPr>
        <sz val="11"/>
        <color theme="1"/>
        <rFont val="Calibri"/>
        <family val="2"/>
      </rPr>
      <t>(x)</t>
    </r>
  </si>
  <si>
    <t>D(X)</t>
  </si>
  <si>
    <t>Размах</t>
  </si>
  <si>
    <t>max</t>
  </si>
  <si>
    <t>min</t>
  </si>
  <si>
    <t>Мода</t>
  </si>
  <si>
    <t>Медиана</t>
  </si>
  <si>
    <t>Mx</t>
  </si>
  <si>
    <t>Объем продаж</t>
  </si>
  <si>
    <t>Открытие</t>
  </si>
  <si>
    <t>n</t>
  </si>
  <si>
    <t>Dogecoin</t>
  </si>
  <si>
    <t>DOGE-USD</t>
  </si>
  <si>
    <t>0.18643300235271454</t>
  </si>
  <si>
    <t>0.18251000344753265</t>
  </si>
  <si>
    <t>0.1877560019493103</t>
  </si>
  <si>
    <t>0.18271300196647644</t>
  </si>
  <si>
    <t>0.18271000683307648</t>
  </si>
  <si>
    <t>0.17678600549697876</t>
  </si>
  <si>
    <t>0.1944890022277832</t>
  </si>
  <si>
    <t>0.19238300621509552</t>
  </si>
  <si>
    <t>0.19238999485969543</t>
  </si>
  <si>
    <t>0.1890770047903061</t>
  </si>
  <si>
    <t>0.197270005941391</t>
  </si>
  <si>
    <t>0.19375500082969666</t>
  </si>
  <si>
    <t>0.19375699758529663</t>
  </si>
  <si>
    <t>0.1912200003862381</t>
  </si>
  <si>
    <t>0.202906996011734</t>
  </si>
  <si>
    <t>0.20038199424743652</t>
  </si>
  <si>
    <t>0.19980299472808838</t>
  </si>
  <si>
    <t>0.2093150019645691</t>
  </si>
  <si>
    <t>0.20566800236701965</t>
  </si>
  <si>
    <t>0.20566999912261963</t>
  </si>
  <si>
    <t>0.1947930008172989</t>
  </si>
  <si>
    <t>0.20641100406646729</t>
  </si>
  <si>
    <t>0.19659000635147095</t>
  </si>
  <si>
    <t>0.19659100472927094</t>
  </si>
  <si>
    <t>0.1962520033121109</t>
  </si>
  <si>
    <t>0.19971799850463867</t>
  </si>
  <si>
    <t>0.19769799709320068</t>
  </si>
  <si>
    <t>0.19440199434757233</t>
  </si>
  <si>
    <t>0.19968299567699432</t>
  </si>
  <si>
    <t>0.19485799968242645</t>
  </si>
  <si>
    <t>0.19484399259090424</t>
  </si>
  <si>
    <t>0.18983200192451477</t>
  </si>
  <si>
    <t>0.1972160041332245</t>
  </si>
  <si>
    <t>0.19000199437141418</t>
  </si>
  <si>
    <t>0.18650099635124207</t>
  </si>
  <si>
    <t>0.19531400501728058</t>
  </si>
  <si>
    <t>0.19438600540161133</t>
  </si>
  <si>
    <t>0.1943890005350113</t>
  </si>
  <si>
    <t>0.19233199954032898</t>
  </si>
  <si>
    <t>0.20543499290943146</t>
  </si>
  <si>
    <t>0.20015600323677063</t>
  </si>
  <si>
    <t>0.20011399686336517</t>
  </si>
  <si>
    <t>0.19194099307060242</t>
  </si>
  <si>
    <t>0.20244699716567993</t>
  </si>
  <si>
    <t>0.19532400369644165</t>
  </si>
  <si>
    <t>0.19532300531864166</t>
  </si>
  <si>
    <t>0.18629500269889832</t>
  </si>
  <si>
    <t>0.1985349953174591</t>
  </si>
  <si>
    <t>0.18959900736808777</t>
  </si>
  <si>
    <t>0.18453200161457062</t>
  </si>
  <si>
    <t>0.19022299349308014</t>
  </si>
  <si>
    <t>0.18485000729560852</t>
  </si>
  <si>
    <t>0.18484200537204742</t>
  </si>
  <si>
    <t>0.17621099948883057</t>
  </si>
  <si>
    <t>0.19079700112342834</t>
  </si>
  <si>
    <t>0.18836599588394165</t>
  </si>
  <si>
    <t xml:space="preserve"> - медиана</t>
  </si>
  <si>
    <t>0.18836699426174164</t>
  </si>
  <si>
    <t>0.1852090060710907</t>
  </si>
  <si>
    <t>0.20123499631881714</t>
  </si>
  <si>
    <t>0.19632799923419952</t>
  </si>
  <si>
    <t>0.19632700085639954</t>
  </si>
  <si>
    <t>0.19509799778461456</t>
  </si>
  <si>
    <t>0.20797300338745117</t>
  </si>
  <si>
    <t>0.20453199744224548</t>
  </si>
  <si>
    <t>0.19510400295257568</t>
  </si>
  <si>
    <t>0.21554400026798248</t>
  </si>
  <si>
    <t>0.21399100124835968</t>
  </si>
  <si>
    <t>0.20474599301815033</t>
  </si>
  <si>
    <t>0.21827000379562378</t>
  </si>
  <si>
    <t>0.20779499411582947</t>
  </si>
  <si>
    <t>0.18175600469112396</t>
  </si>
  <si>
    <t>0.21404899656772614</t>
  </si>
  <si>
    <t>0.1854410022497177</t>
  </si>
  <si>
    <t>0.1854429990053177</t>
  </si>
  <si>
    <t>0.1790120005607605</t>
  </si>
  <si>
    <t>0.20023399591445923</t>
  </si>
  <si>
    <t>0.19315500557422638</t>
  </si>
  <si>
    <t>0.11478400230407715</t>
  </si>
  <si>
    <t>0.25362399220466614</t>
  </si>
  <si>
    <t>0.2485630065202713</t>
  </si>
  <si>
    <t>0.24194100499153137</t>
  </si>
  <si>
    <t>0.2557089924812317</t>
  </si>
  <si>
    <t>0.2555620074272156</t>
  </si>
  <si>
    <t>0.25556299090385437</t>
  </si>
  <si>
    <t>0.2441360056400299</t>
  </si>
  <si>
    <t>0.26093098521232605</t>
  </si>
  <si>
    <t>0.24731600284576416</t>
  </si>
  <si>
    <t>0.24725699424743652</t>
  </si>
  <si>
    <t>0.267863005399704</t>
  </si>
  <si>
    <t>0.26631200313568115</t>
  </si>
  <si>
    <t>0.26631298661231995</t>
  </si>
  <si>
    <t>0.2513220012187958</t>
  </si>
  <si>
    <t>0.27004700899124146</t>
  </si>
  <si>
    <t>0.25295400619506836</t>
  </si>
  <si>
    <t>0.24981500208377838</t>
  </si>
  <si>
    <t>0.26466500759124756</t>
  </si>
  <si>
    <t>0.250914990901947</t>
  </si>
  <si>
    <t>0.250916987657547</t>
  </si>
  <si>
    <t>0.2473369985818863</t>
  </si>
  <si>
    <t>0.2594049870967865</t>
  </si>
  <si>
    <t>0.2586039900779724</t>
  </si>
  <si>
    <t>0.2586030066013336</t>
  </si>
  <si>
    <t>0.2535470128059387</t>
  </si>
  <si>
    <t>0.26496899127960205</t>
  </si>
  <si>
    <t>0.26194000244140625</t>
  </si>
  <si>
    <t>0.2619369924068451</t>
  </si>
  <si>
    <t>0.24705499410629272</t>
  </si>
  <si>
    <t>0.26341500878334045</t>
  </si>
  <si>
    <t>0.24837200343608856</t>
  </si>
  <si>
    <t>0.24836499989032745</t>
  </si>
  <si>
    <t>0.2308329939842224</t>
  </si>
  <si>
    <t>0.23290500044822693</t>
  </si>
  <si>
    <t>(Xi - Mx)^2</t>
  </si>
  <si>
    <t>Xi - Mx</t>
  </si>
  <si>
    <t>Xi</t>
  </si>
  <si>
    <t>День</t>
  </si>
  <si>
    <t>name</t>
  </si>
  <si>
    <t>ticker</t>
  </si>
  <si>
    <t>Volume</t>
  </si>
  <si>
    <t>Close</t>
  </si>
  <si>
    <t>Low</t>
  </si>
  <si>
    <t>High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</si>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</sst>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204"/>
    </font>
    <font>
      <sz val="11"/>
      <color theme="1"/>
      <name val="Courier New"/>
      <family val="3"/>
      <charset val="204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theme="9" tint="0.79998168889431442"/>
      </patternFill>
    </fill>
    <fill>
      <patternFill patternType="solid">
        <fgColor theme="8" tint="0.79998168889431442"/>
        <bgColor theme="9" tint="0.79998168889431442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0" fontId="0" fillId="0" borderId="2" xfId="0" applyBorder="1"/>
    <xf numFmtId="0" fontId="1" fillId="0" borderId="0" xfId="0" applyFont="1"/>
    <xf numFmtId="11" fontId="0" fillId="0" borderId="0" xfId="0" applyNumberFormat="1"/>
    <xf numFmtId="0" fontId="4" fillId="3" borderId="1" xfId="0" applyFont="1" applyFill="1" applyBorder="1"/>
    <xf numFmtId="0" fontId="4" fillId="3" borderId="2" xfId="0" applyFont="1" applyFill="1" applyBorder="1"/>
    <xf numFmtId="0" fontId="0" fillId="4" borderId="1" xfId="0" applyFill="1" applyBorder="1"/>
    <xf numFmtId="2" fontId="0" fillId="5" borderId="2" xfId="0" applyNumberFormat="1" applyFill="1" applyBorder="1"/>
    <xf numFmtId="22" fontId="0" fillId="2" borderId="2" xfId="0" applyNumberFormat="1" applyFill="1" applyBorder="1"/>
    <xf numFmtId="0" fontId="0" fillId="6" borderId="1" xfId="0" applyFill="1" applyBorder="1"/>
    <xf numFmtId="2" fontId="0" fillId="7" borderId="2" xfId="0" applyNumberFormat="1" applyFill="1" applyBorder="1"/>
    <xf numFmtId="22" fontId="0" fillId="0" borderId="2" xfId="0" applyNumberFormat="1" applyBorder="1"/>
    <xf numFmtId="2" fontId="0" fillId="8" borderId="2" xfId="0" applyNumberFormat="1" applyFill="1" applyBorder="1"/>
    <xf numFmtId="2" fontId="0" fillId="9" borderId="2" xfId="0" applyNumberFormat="1" applyFill="1" applyBorder="1"/>
    <xf numFmtId="2" fontId="0" fillId="10" borderId="2" xfId="0" applyNumberFormat="1" applyFill="1" applyBorder="1"/>
    <xf numFmtId="2" fontId="0" fillId="2" borderId="2" xfId="0" applyNumberFormat="1" applyFill="1" applyBorder="1"/>
    <xf numFmtId="2" fontId="0" fillId="11" borderId="2" xfId="0" applyNumberFormat="1" applyFill="1" applyBorder="1"/>
    <xf numFmtId="0" fontId="0" fillId="12" borderId="1" xfId="0" applyFill="1" applyBorder="1"/>
    <xf numFmtId="2" fontId="0" fillId="13" borderId="2" xfId="0" applyNumberFormat="1" applyFill="1" applyBorder="1"/>
    <xf numFmtId="0" fontId="4" fillId="3" borderId="0" xfId="0" applyFont="1" applyFill="1"/>
  </cellXfs>
  <cellStyles count="1">
    <cellStyle name="Обычный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:mm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Стоимость на начало дня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Лист2!$N$2:$N$32</c:f>
              <c:numCache>
                <c:formatCode>General</c:formatCode>
                <c:ptCount val="31"/>
                <c:pt idx="0">
                  <c:v>0.23290500044822601</c:v>
                </c:pt>
                <c:pt idx="1">
                  <c:v>0.24837200343608801</c:v>
                </c:pt>
                <c:pt idx="2">
                  <c:v>0.26194000244140597</c:v>
                </c:pt>
                <c:pt idx="3">
                  <c:v>0.25860399007797202</c:v>
                </c:pt>
                <c:pt idx="4">
                  <c:v>0.25091499090194702</c:v>
                </c:pt>
                <c:pt idx="5">
                  <c:v>0.25295400619506803</c:v>
                </c:pt>
                <c:pt idx="6">
                  <c:v>0.26631200313568099</c:v>
                </c:pt>
                <c:pt idx="7">
                  <c:v>0.24731600284576399</c:v>
                </c:pt>
                <c:pt idx="8">
                  <c:v>0.25556200742721502</c:v>
                </c:pt>
                <c:pt idx="9">
                  <c:v>0.248563006520271</c:v>
                </c:pt>
                <c:pt idx="10">
                  <c:v>0.19315500557422599</c:v>
                </c:pt>
                <c:pt idx="11">
                  <c:v>0.18544100224971699</c:v>
                </c:pt>
                <c:pt idx="12">
                  <c:v>0.207794994115829</c:v>
                </c:pt>
                <c:pt idx="13">
                  <c:v>0.21399100124835899</c:v>
                </c:pt>
                <c:pt idx="14">
                  <c:v>0.20453199744224501</c:v>
                </c:pt>
                <c:pt idx="15">
                  <c:v>0.196327999234199</c:v>
                </c:pt>
                <c:pt idx="16">
                  <c:v>0.18836599588394101</c:v>
                </c:pt>
                <c:pt idx="17">
                  <c:v>0.18485000729560799</c:v>
                </c:pt>
                <c:pt idx="18">
                  <c:v>0.18959900736808699</c:v>
                </c:pt>
                <c:pt idx="19">
                  <c:v>0.19532400369644101</c:v>
                </c:pt>
                <c:pt idx="20">
                  <c:v>0.20015600323676999</c:v>
                </c:pt>
                <c:pt idx="21">
                  <c:v>0.194386005401611</c:v>
                </c:pt>
                <c:pt idx="22">
                  <c:v>0.19000199437141399</c:v>
                </c:pt>
                <c:pt idx="23">
                  <c:v>0.19485799968242601</c:v>
                </c:pt>
                <c:pt idx="24">
                  <c:v>0.19769799709319999</c:v>
                </c:pt>
                <c:pt idx="25">
                  <c:v>0.19659000635147</c:v>
                </c:pt>
                <c:pt idx="26">
                  <c:v>0.20566800236701899</c:v>
                </c:pt>
                <c:pt idx="27">
                  <c:v>0.200381994247436</c:v>
                </c:pt>
                <c:pt idx="28">
                  <c:v>0.19375500082969599</c:v>
                </c:pt>
                <c:pt idx="29">
                  <c:v>0.19238300621509499</c:v>
                </c:pt>
                <c:pt idx="30">
                  <c:v>0.182713001966476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8-4190-9ADE-7CEFEEE6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637648"/>
        <c:axId val="557635568"/>
      </c:lineChart>
      <c:catAx>
        <c:axId val="55763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7635568"/>
        <c:crosses val="autoZero"/>
        <c:auto val="1"/>
        <c:lblAlgn val="ctr"/>
        <c:lblOffset val="100"/>
        <c:tickLblSkip val="5"/>
        <c:noMultiLvlLbl val="0"/>
      </c:catAx>
      <c:valAx>
        <c:axId val="5576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763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объема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Объем продаж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Лист2!$O$2:$O$32</c:f>
              <c:numCache>
                <c:formatCode>General</c:formatCode>
                <c:ptCount val="31"/>
                <c:pt idx="0">
                  <c:v>2935493861</c:v>
                </c:pt>
                <c:pt idx="1">
                  <c:v>3466616007</c:v>
                </c:pt>
                <c:pt idx="2">
                  <c:v>3285893533</c:v>
                </c:pt>
                <c:pt idx="3">
                  <c:v>2121406683</c:v>
                </c:pt>
                <c:pt idx="4">
                  <c:v>3422890843</c:v>
                </c:pt>
                <c:pt idx="5">
                  <c:v>3938750191</c:v>
                </c:pt>
                <c:pt idx="6">
                  <c:v>4263519773</c:v>
                </c:pt>
                <c:pt idx="7">
                  <c:v>3136056857</c:v>
                </c:pt>
                <c:pt idx="8">
                  <c:v>3221293489</c:v>
                </c:pt>
                <c:pt idx="9">
                  <c:v>8989277920</c:v>
                </c:pt>
                <c:pt idx="10">
                  <c:v>6948749972</c:v>
                </c:pt>
                <c:pt idx="11">
                  <c:v>5183180935</c:v>
                </c:pt>
                <c:pt idx="12">
                  <c:v>4745994514</c:v>
                </c:pt>
                <c:pt idx="13">
                  <c:v>4841725506</c:v>
                </c:pt>
                <c:pt idx="14">
                  <c:v>2877365449</c:v>
                </c:pt>
                <c:pt idx="15">
                  <c:v>3498982322</c:v>
                </c:pt>
                <c:pt idx="16">
                  <c:v>3317944601</c:v>
                </c:pt>
                <c:pt idx="17">
                  <c:v>1238849111</c:v>
                </c:pt>
                <c:pt idx="18">
                  <c:v>1982258702</c:v>
                </c:pt>
                <c:pt idx="19">
                  <c:v>2148033213</c:v>
                </c:pt>
                <c:pt idx="20">
                  <c:v>2783675973</c:v>
                </c:pt>
                <c:pt idx="21">
                  <c:v>2573427089</c:v>
                </c:pt>
                <c:pt idx="22">
                  <c:v>1769172845</c:v>
                </c:pt>
                <c:pt idx="23">
                  <c:v>1546313970</c:v>
                </c:pt>
                <c:pt idx="24">
                  <c:v>1136645097</c:v>
                </c:pt>
                <c:pt idx="25">
                  <c:v>1679630618</c:v>
                </c:pt>
                <c:pt idx="26">
                  <c:v>1984421014</c:v>
                </c:pt>
                <c:pt idx="27">
                  <c:v>2809894306</c:v>
                </c:pt>
                <c:pt idx="28">
                  <c:v>2590886109</c:v>
                </c:pt>
                <c:pt idx="29">
                  <c:v>3112664146</c:v>
                </c:pt>
                <c:pt idx="30">
                  <c:v>1579798665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F-4985-817A-C0278A84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459792"/>
        <c:axId val="658460208"/>
      </c:lineChart>
      <c:catAx>
        <c:axId val="65845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46020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5846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45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Диаграмма рассеяния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Лист2!$N$2:$N$32</c:f>
              <c:numCache>
                <c:formatCode>General</c:formatCode>
                <c:ptCount val="31"/>
                <c:pt idx="0">
                  <c:v>0.23290500044822601</c:v>
                </c:pt>
                <c:pt idx="1">
                  <c:v>0.24837200343608801</c:v>
                </c:pt>
                <c:pt idx="2">
                  <c:v>0.26194000244140597</c:v>
                </c:pt>
                <c:pt idx="3">
                  <c:v>0.25860399007797202</c:v>
                </c:pt>
                <c:pt idx="4">
                  <c:v>0.25091499090194702</c:v>
                </c:pt>
                <c:pt idx="5">
                  <c:v>0.25295400619506803</c:v>
                </c:pt>
                <c:pt idx="6">
                  <c:v>0.26631200313568099</c:v>
                </c:pt>
                <c:pt idx="7">
                  <c:v>0.24731600284576399</c:v>
                </c:pt>
                <c:pt idx="8">
                  <c:v>0.25556200742721502</c:v>
                </c:pt>
                <c:pt idx="9">
                  <c:v>0.248563006520271</c:v>
                </c:pt>
                <c:pt idx="10">
                  <c:v>0.19315500557422599</c:v>
                </c:pt>
                <c:pt idx="11">
                  <c:v>0.18544100224971699</c:v>
                </c:pt>
                <c:pt idx="12">
                  <c:v>0.207794994115829</c:v>
                </c:pt>
                <c:pt idx="13">
                  <c:v>0.21399100124835899</c:v>
                </c:pt>
                <c:pt idx="14">
                  <c:v>0.20453199744224501</c:v>
                </c:pt>
                <c:pt idx="15">
                  <c:v>0.196327999234199</c:v>
                </c:pt>
                <c:pt idx="16">
                  <c:v>0.18836599588394101</c:v>
                </c:pt>
                <c:pt idx="17">
                  <c:v>0.18485000729560799</c:v>
                </c:pt>
                <c:pt idx="18">
                  <c:v>0.18959900736808699</c:v>
                </c:pt>
                <c:pt idx="19">
                  <c:v>0.19532400369644101</c:v>
                </c:pt>
                <c:pt idx="20">
                  <c:v>0.20015600323676999</c:v>
                </c:pt>
                <c:pt idx="21">
                  <c:v>0.194386005401611</c:v>
                </c:pt>
                <c:pt idx="22">
                  <c:v>0.19000199437141399</c:v>
                </c:pt>
                <c:pt idx="23">
                  <c:v>0.19485799968242601</c:v>
                </c:pt>
                <c:pt idx="24">
                  <c:v>0.19769799709319999</c:v>
                </c:pt>
                <c:pt idx="25">
                  <c:v>0.19659000635147</c:v>
                </c:pt>
                <c:pt idx="26">
                  <c:v>0.20566800236701899</c:v>
                </c:pt>
                <c:pt idx="27">
                  <c:v>0.200381994247436</c:v>
                </c:pt>
                <c:pt idx="28">
                  <c:v>0.19375500082969599</c:v>
                </c:pt>
                <c:pt idx="29">
                  <c:v>0.19238300621509499</c:v>
                </c:pt>
                <c:pt idx="30">
                  <c:v>0.182713001966476</c:v>
                </c:pt>
              </c:numCache>
            </c:numRef>
          </c:xVal>
          <c:yVal>
            <c:numRef>
              <c:f>Лист2!$O$2:$O$32</c:f>
              <c:numCache>
                <c:formatCode>General</c:formatCode>
                <c:ptCount val="31"/>
                <c:pt idx="0">
                  <c:v>2935493861</c:v>
                </c:pt>
                <c:pt idx="1">
                  <c:v>3466616007</c:v>
                </c:pt>
                <c:pt idx="2">
                  <c:v>3285893533</c:v>
                </c:pt>
                <c:pt idx="3">
                  <c:v>2121406683</c:v>
                </c:pt>
                <c:pt idx="4">
                  <c:v>3422890843</c:v>
                </c:pt>
                <c:pt idx="5">
                  <c:v>3938750191</c:v>
                </c:pt>
                <c:pt idx="6">
                  <c:v>4263519773</c:v>
                </c:pt>
                <c:pt idx="7">
                  <c:v>3136056857</c:v>
                </c:pt>
                <c:pt idx="8">
                  <c:v>3221293489</c:v>
                </c:pt>
                <c:pt idx="9">
                  <c:v>8989277920</c:v>
                </c:pt>
                <c:pt idx="10">
                  <c:v>6948749972</c:v>
                </c:pt>
                <c:pt idx="11">
                  <c:v>5183180935</c:v>
                </c:pt>
                <c:pt idx="12">
                  <c:v>4745994514</c:v>
                </c:pt>
                <c:pt idx="13">
                  <c:v>4841725506</c:v>
                </c:pt>
                <c:pt idx="14">
                  <c:v>2877365449</c:v>
                </c:pt>
                <c:pt idx="15">
                  <c:v>3498982322</c:v>
                </c:pt>
                <c:pt idx="16">
                  <c:v>3317944601</c:v>
                </c:pt>
                <c:pt idx="17">
                  <c:v>1238849111</c:v>
                </c:pt>
                <c:pt idx="18">
                  <c:v>1982258702</c:v>
                </c:pt>
                <c:pt idx="19">
                  <c:v>2148033213</c:v>
                </c:pt>
                <c:pt idx="20">
                  <c:v>2783675973</c:v>
                </c:pt>
                <c:pt idx="21">
                  <c:v>2573427089</c:v>
                </c:pt>
                <c:pt idx="22">
                  <c:v>1769172845</c:v>
                </c:pt>
                <c:pt idx="23">
                  <c:v>1546313970</c:v>
                </c:pt>
                <c:pt idx="24">
                  <c:v>1136645097</c:v>
                </c:pt>
                <c:pt idx="25">
                  <c:v>1679630618</c:v>
                </c:pt>
                <c:pt idx="26">
                  <c:v>1984421014</c:v>
                </c:pt>
                <c:pt idx="27">
                  <c:v>2809894306</c:v>
                </c:pt>
                <c:pt idx="28">
                  <c:v>2590886109</c:v>
                </c:pt>
                <c:pt idx="29">
                  <c:v>3112664146</c:v>
                </c:pt>
                <c:pt idx="30">
                  <c:v>1579798665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A-49A1-B678-C660C45AD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877312"/>
        <c:axId val="561879808"/>
      </c:scatterChart>
      <c:valAx>
        <c:axId val="56187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879808"/>
        <c:crosses val="autoZero"/>
        <c:crossBetween val="midCat"/>
      </c:valAx>
      <c:valAx>
        <c:axId val="5618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187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247649</xdr:colOff>
      <xdr:row>17</xdr:row>
      <xdr:rowOff>123825</xdr:rowOff>
    </xdr:from>
    <xdr:to>
      <xdr:col>34</xdr:col>
      <xdr:colOff>466724</xdr:colOff>
      <xdr:row>32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B03E1C-FBE7-4154-A077-15492C7E5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257174</xdr:colOff>
      <xdr:row>34</xdr:row>
      <xdr:rowOff>52387</xdr:rowOff>
    </xdr:from>
    <xdr:to>
      <xdr:col>34</xdr:col>
      <xdr:colOff>495299</xdr:colOff>
      <xdr:row>48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B56958-4050-4CCA-B23E-CA981C060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314324</xdr:colOff>
      <xdr:row>2</xdr:row>
      <xdr:rowOff>38099</xdr:rowOff>
    </xdr:from>
    <xdr:to>
      <xdr:col>34</xdr:col>
      <xdr:colOff>604837</xdr:colOff>
      <xdr:row>16</xdr:row>
      <xdr:rowOff>114299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CBF85A8-0EC3-498B-B3F3-12F1D6022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7F086-C8DA-4D33-AD6B-D6188BD54D3F}" name="Таблица2" displayName="Таблица2" ref="A1:I32" totalsRowShown="0" headerRowDxfId="12" dataDxfId="11" tableBorderDxfId="10">
  <autoFilter ref="A1:I32" xr:uid="{278D7C5C-83A3-421C-AE17-2D825DA286FC}"/>
  <tableColumns count="9">
    <tableColumn id="1" xr3:uid="{FEF9B682-9025-415B-88BA-6C9FEF0317DE}" name="Date" dataDxfId="9"/>
    <tableColumn id="2" xr3:uid="{A5DE0BDB-1575-47A8-9C32-7CC21373E6A9}" name="День">
      <calculatedColumnFormula>DAY(A2)</calculatedColumnFormula>
    </tableColumn>
    <tableColumn id="3" xr3:uid="{FDF45FDD-CE79-4082-8371-41BAA5B9F0F9}" name="Open" dataDxfId="8"/>
    <tableColumn id="4" xr3:uid="{47384042-D6E1-4A08-B79A-0D9D419FB4D9}" name="High" dataDxfId="7"/>
    <tableColumn id="5" xr3:uid="{CA5EE85E-A1E5-4BA5-8B0F-5D5075060639}" name="Low" dataDxfId="6"/>
    <tableColumn id="6" xr3:uid="{E7EE5EC9-ADFE-4A53-A60F-A2270ED2F0EE}" name="Close" dataDxfId="5"/>
    <tableColumn id="7" xr3:uid="{4749FB9B-6751-48FF-8BA2-996B3464E085}" name="Volume" dataDxfId="4"/>
    <tableColumn id="8" xr3:uid="{8BBA1481-CB4A-4227-BCFD-D1425ADA84C4}" name="ticker" dataDxfId="3"/>
    <tableColumn id="9" xr3:uid="{F8666CB1-B3FD-4066-8699-21C464C9C735}" name="name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64D517-3360-427B-9E8D-511812C87FBB}" name="Таблица4" displayName="Таблица4" ref="M1:O32" totalsRowShown="0">
  <autoFilter ref="M1:O32" xr:uid="{233B62C6-483A-4037-855D-D4C3C2E66E6C}"/>
  <tableColumns count="3">
    <tableColumn id="1" xr3:uid="{E71D81AC-0102-4731-8453-683E563D5331}" name="День"/>
    <tableColumn id="2" xr3:uid="{DD969FB4-C583-4035-891F-A816D981CC8B}" name="Открытие"/>
    <tableColumn id="3" xr3:uid="{10425F6F-8E52-4784-ACB7-BAEAFFD86C14}" name="Объем продаж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6343DD-8DF1-4B93-B1A8-4AE5449CBC56}" name="Таблица3" displayName="Таблица3" ref="U1:W32" totalsRowShown="0">
  <autoFilter ref="U1:W32" xr:uid="{D6D9572F-1A71-4F57-8E79-BFC6942F5A4B}"/>
  <tableColumns count="3">
    <tableColumn id="1" xr3:uid="{8FCA03C6-9E42-4967-9E98-7EB1387697A1}" name="Xi" dataDxfId="1"/>
    <tableColumn id="2" xr3:uid="{241AF184-4C8A-4547-AE77-F00C85324FBF}" name="Xi - Mx">
      <calculatedColumnFormula>U2-$N$35</calculatedColumnFormula>
    </tableColumn>
    <tableColumn id="3" xr3:uid="{E27826BB-A7F9-4068-9F35-75E9C8B14EB6}" name="(Xi - Mx)^2">
      <calculatedColumnFormula>V2^2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E9210C-DAA2-4839-BE98-C916A632A379}" name="Таблица5" displayName="Таблица5" ref="Y1:AA32" totalsRowShown="0">
  <autoFilter ref="Y1:AA32" xr:uid="{48AE9259-8716-44F1-A572-282C7D03A075}"/>
  <tableColumns count="3">
    <tableColumn id="1" xr3:uid="{E961DB88-2068-485C-9F53-CBD8CEDD12EF}" name="Xi" dataDxfId="0"/>
    <tableColumn id="2" xr3:uid="{AEA6DF3B-C38A-41DC-97EF-961E8B45A5F9}" name="Xi - Mx">
      <calculatedColumnFormula>Y2-$O$35</calculatedColumnFormula>
    </tableColumn>
    <tableColumn id="3" xr3:uid="{168BF5DC-E6B9-4E47-ABC7-2B31DB505CF8}" name="(Xi - Mx)^2">
      <calculatedColumnFormula>Z2^2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9200-3031-475F-872F-00D208BAB07C}">
  <dimension ref="A1:AA65"/>
  <sheetViews>
    <sheetView tabSelected="1" zoomScale="85" zoomScaleNormal="85" workbookViewId="0">
      <selection activeCell="AO30" sqref="AO30"/>
    </sheetView>
  </sheetViews>
  <sheetFormatPr defaultRowHeight="15" x14ac:dyDescent="0.25"/>
  <cols>
    <col min="1" max="1" width="17.85546875" customWidth="1"/>
    <col min="2" max="2" width="6.42578125" customWidth="1"/>
    <col min="3" max="3" width="12.28515625" customWidth="1"/>
    <col min="4" max="4" width="13" customWidth="1"/>
    <col min="5" max="5" width="12.140625" customWidth="1"/>
    <col min="6" max="6" width="15.28515625" customWidth="1"/>
    <col min="7" max="7" width="12.5703125" customWidth="1"/>
    <col min="13" max="13" width="10.28515625" customWidth="1"/>
    <col min="14" max="14" width="22" customWidth="1"/>
    <col min="15" max="15" width="16.85546875" customWidth="1"/>
    <col min="16" max="16" width="11" bestFit="1" customWidth="1"/>
    <col min="19" max="19" width="10.85546875" customWidth="1"/>
    <col min="22" max="22" width="9.28515625" customWidth="1"/>
    <col min="23" max="23" width="12.7109375" customWidth="1"/>
    <col min="26" max="26" width="12.7109375" bestFit="1" customWidth="1"/>
    <col min="27" max="27" width="12.85546875" customWidth="1"/>
  </cols>
  <sheetData>
    <row r="1" spans="1:27" x14ac:dyDescent="0.25">
      <c r="A1" s="8" t="s">
        <v>137</v>
      </c>
      <c r="B1" t="s">
        <v>129</v>
      </c>
      <c r="C1" s="8" t="s">
        <v>136</v>
      </c>
      <c r="D1" s="8" t="s">
        <v>135</v>
      </c>
      <c r="E1" s="8" t="s">
        <v>134</v>
      </c>
      <c r="F1" s="8" t="s">
        <v>133</v>
      </c>
      <c r="G1" s="8" t="s">
        <v>132</v>
      </c>
      <c r="H1" s="8" t="s">
        <v>131</v>
      </c>
      <c r="I1" s="8" t="s">
        <v>130</v>
      </c>
      <c r="M1" t="s">
        <v>129</v>
      </c>
      <c r="N1" t="s">
        <v>9</v>
      </c>
      <c r="O1" t="s">
        <v>8</v>
      </c>
      <c r="Q1" s="8" t="s">
        <v>9</v>
      </c>
      <c r="R1" s="7" t="s">
        <v>8</v>
      </c>
      <c r="U1" s="8" t="s">
        <v>128</v>
      </c>
      <c r="V1" s="22" t="s">
        <v>127</v>
      </c>
      <c r="W1" s="22" t="s">
        <v>126</v>
      </c>
      <c r="Y1" t="s">
        <v>128</v>
      </c>
      <c r="Z1" t="s">
        <v>127</v>
      </c>
      <c r="AA1" t="s">
        <v>126</v>
      </c>
    </row>
    <row r="2" spans="1:27" x14ac:dyDescent="0.25">
      <c r="A2" s="11">
        <v>45931.125</v>
      </c>
      <c r="B2">
        <f t="shared" ref="B2:B32" si="0">DAY(A2)</f>
        <v>1</v>
      </c>
      <c r="C2" s="2" t="s">
        <v>125</v>
      </c>
      <c r="D2" s="2" t="s">
        <v>123</v>
      </c>
      <c r="E2" s="2" t="s">
        <v>124</v>
      </c>
      <c r="F2" s="2" t="s">
        <v>123</v>
      </c>
      <c r="G2" s="2">
        <v>2935493861</v>
      </c>
      <c r="H2" s="2" t="s">
        <v>12</v>
      </c>
      <c r="I2" s="2" t="s">
        <v>11</v>
      </c>
      <c r="M2">
        <v>1</v>
      </c>
      <c r="N2">
        <v>0.23290500044822601</v>
      </c>
      <c r="O2">
        <v>2935493861</v>
      </c>
      <c r="Q2" s="18">
        <v>0.182713001966476</v>
      </c>
      <c r="R2" s="12">
        <v>1136645097</v>
      </c>
      <c r="U2" s="2">
        <v>0.23290500044822601</v>
      </c>
      <c r="V2">
        <f t="shared" ref="V2:V32" si="1">U2-$N$35</f>
        <v>1.8988386277229208E-2</v>
      </c>
      <c r="W2">
        <f t="shared" ref="W2:W32" si="2">V2^2</f>
        <v>3.6055881341326651E-4</v>
      </c>
      <c r="Y2" s="3">
        <v>2935493861</v>
      </c>
      <c r="Z2">
        <f t="shared" ref="Z2:Z32" si="3">Y2-$O$35</f>
        <v>-262274310.41935492</v>
      </c>
      <c r="AA2">
        <f t="shared" ref="AA2:AA32" si="4">Z2^2</f>
        <v>6.8787813905948144E+16</v>
      </c>
    </row>
    <row r="3" spans="1:27" x14ac:dyDescent="0.25">
      <c r="A3" s="14">
        <v>45932.125</v>
      </c>
      <c r="B3">
        <f t="shared" si="0"/>
        <v>2</v>
      </c>
      <c r="C3" s="4" t="s">
        <v>122</v>
      </c>
      <c r="D3" s="4" t="s">
        <v>121</v>
      </c>
      <c r="E3" s="4" t="s">
        <v>120</v>
      </c>
      <c r="F3" s="4" t="s">
        <v>119</v>
      </c>
      <c r="G3" s="4">
        <v>3466616007</v>
      </c>
      <c r="H3" s="4" t="s">
        <v>12</v>
      </c>
      <c r="I3" s="4" t="s">
        <v>11</v>
      </c>
      <c r="M3">
        <v>2</v>
      </c>
      <c r="N3">
        <v>0.24837200343608801</v>
      </c>
      <c r="O3">
        <v>3466616007</v>
      </c>
      <c r="Q3" s="21">
        <v>0.18485000729560799</v>
      </c>
      <c r="R3" s="9">
        <v>1238849111</v>
      </c>
      <c r="U3" s="4">
        <v>0.24837200343608801</v>
      </c>
      <c r="V3">
        <f t="shared" si="1"/>
        <v>3.4455389265091202E-2</v>
      </c>
      <c r="W3">
        <f t="shared" si="2"/>
        <v>1.1871738494089621E-3</v>
      </c>
      <c r="Y3" s="1">
        <v>3466616007</v>
      </c>
      <c r="Z3">
        <f t="shared" si="3"/>
        <v>268847835.58064508</v>
      </c>
      <c r="AA3">
        <f t="shared" si="4"/>
        <v>7.2279158696397568E+16</v>
      </c>
    </row>
    <row r="4" spans="1:27" x14ac:dyDescent="0.25">
      <c r="A4" s="11">
        <v>45933.125</v>
      </c>
      <c r="B4">
        <f t="shared" si="0"/>
        <v>3</v>
      </c>
      <c r="C4" s="2" t="s">
        <v>118</v>
      </c>
      <c r="D4" s="2" t="s">
        <v>117</v>
      </c>
      <c r="E4" s="2" t="s">
        <v>116</v>
      </c>
      <c r="F4" s="2" t="s">
        <v>115</v>
      </c>
      <c r="G4" s="2">
        <v>3285893533</v>
      </c>
      <c r="H4" s="2" t="s">
        <v>12</v>
      </c>
      <c r="I4" s="2" t="s">
        <v>11</v>
      </c>
      <c r="M4">
        <v>3</v>
      </c>
      <c r="N4">
        <v>0.26194000244140597</v>
      </c>
      <c r="O4">
        <v>3285893533</v>
      </c>
      <c r="Q4" s="16">
        <v>0.18544100224971699</v>
      </c>
      <c r="R4" s="9">
        <v>1546313970</v>
      </c>
      <c r="U4" s="2">
        <v>0.26194000244140597</v>
      </c>
      <c r="V4">
        <f t="shared" si="1"/>
        <v>4.8023388270409167E-2</v>
      </c>
      <c r="W4">
        <f t="shared" si="2"/>
        <v>2.3062458209704728E-3</v>
      </c>
      <c r="Y4" s="3">
        <v>3285893533</v>
      </c>
      <c r="Z4">
        <f t="shared" si="3"/>
        <v>88125361.580645084</v>
      </c>
      <c r="AA4">
        <f t="shared" si="4"/>
        <v>7766079353719437</v>
      </c>
    </row>
    <row r="5" spans="1:27" x14ac:dyDescent="0.25">
      <c r="A5" s="14">
        <v>45934.125</v>
      </c>
      <c r="B5">
        <f t="shared" si="0"/>
        <v>4</v>
      </c>
      <c r="C5" s="4" t="s">
        <v>114</v>
      </c>
      <c r="D5" s="4" t="s">
        <v>113</v>
      </c>
      <c r="E5" s="4" t="s">
        <v>112</v>
      </c>
      <c r="F5" s="4" t="s">
        <v>111</v>
      </c>
      <c r="G5" s="4">
        <v>2121406683</v>
      </c>
      <c r="H5" s="4" t="s">
        <v>12</v>
      </c>
      <c r="I5" s="4" t="s">
        <v>11</v>
      </c>
      <c r="M5">
        <v>4</v>
      </c>
      <c r="N5">
        <v>0.25860399007797202</v>
      </c>
      <c r="O5">
        <v>2121406683</v>
      </c>
      <c r="Q5" s="17">
        <v>0.18836599588394101</v>
      </c>
      <c r="R5" s="12">
        <v>1579798665</v>
      </c>
      <c r="U5" s="4">
        <v>0.25860399007797202</v>
      </c>
      <c r="V5">
        <f t="shared" si="1"/>
        <v>4.4687375906975219E-2</v>
      </c>
      <c r="W5">
        <f t="shared" si="2"/>
        <v>1.9969615654513093E-3</v>
      </c>
      <c r="Y5" s="1">
        <v>2121406683</v>
      </c>
      <c r="Z5">
        <f t="shared" si="3"/>
        <v>-1076361488.4193549</v>
      </c>
      <c r="AA5">
        <f t="shared" si="4"/>
        <v>1.1585540537523292E+18</v>
      </c>
    </row>
    <row r="6" spans="1:27" x14ac:dyDescent="0.25">
      <c r="A6" s="11">
        <v>45935.125</v>
      </c>
      <c r="B6">
        <f t="shared" si="0"/>
        <v>5</v>
      </c>
      <c r="C6" s="2" t="s">
        <v>110</v>
      </c>
      <c r="D6" s="2" t="s">
        <v>109</v>
      </c>
      <c r="E6" s="2" t="s">
        <v>108</v>
      </c>
      <c r="F6" s="2" t="s">
        <v>107</v>
      </c>
      <c r="G6" s="2">
        <v>3422890843</v>
      </c>
      <c r="H6" s="2" t="s">
        <v>12</v>
      </c>
      <c r="I6" s="2" t="s">
        <v>11</v>
      </c>
      <c r="M6">
        <v>5</v>
      </c>
      <c r="N6">
        <v>0.25091499090194702</v>
      </c>
      <c r="O6">
        <v>3422890843</v>
      </c>
      <c r="Q6" s="17">
        <v>0.18959900736808699</v>
      </c>
      <c r="R6" s="12">
        <v>1679630618</v>
      </c>
      <c r="U6" s="2">
        <v>0.25091499090194702</v>
      </c>
      <c r="V6">
        <f t="shared" si="1"/>
        <v>3.6998376730950217E-2</v>
      </c>
      <c r="W6">
        <f t="shared" si="2"/>
        <v>1.3688798807253183E-3</v>
      </c>
      <c r="Y6" s="3">
        <v>3422890843</v>
      </c>
      <c r="Z6">
        <f t="shared" si="3"/>
        <v>225122671.58064508</v>
      </c>
      <c r="AA6">
        <f t="shared" si="4"/>
        <v>5.0680217259606984E+16</v>
      </c>
    </row>
    <row r="7" spans="1:27" x14ac:dyDescent="0.25">
      <c r="A7" s="14">
        <v>45936.125</v>
      </c>
      <c r="B7">
        <f t="shared" si="0"/>
        <v>6</v>
      </c>
      <c r="C7" s="4" t="s">
        <v>107</v>
      </c>
      <c r="D7" s="4" t="s">
        <v>106</v>
      </c>
      <c r="E7" s="4" t="s">
        <v>105</v>
      </c>
      <c r="F7" s="4" t="s">
        <v>104</v>
      </c>
      <c r="G7" s="4">
        <v>3938750191</v>
      </c>
      <c r="H7" s="4" t="s">
        <v>12</v>
      </c>
      <c r="I7" s="4" t="s">
        <v>11</v>
      </c>
      <c r="M7">
        <v>6</v>
      </c>
      <c r="N7">
        <v>0.25295400619506803</v>
      </c>
      <c r="O7">
        <v>3938750191</v>
      </c>
      <c r="Q7" s="17">
        <v>0.19000199437141399</v>
      </c>
      <c r="R7" s="9">
        <v>1769172845</v>
      </c>
      <c r="U7" s="4">
        <v>0.25295400619506803</v>
      </c>
      <c r="V7">
        <f t="shared" si="1"/>
        <v>3.9037392024071221E-2</v>
      </c>
      <c r="W7">
        <f t="shared" si="2"/>
        <v>1.5239179760410193E-3</v>
      </c>
      <c r="Y7" s="1">
        <v>3938750191</v>
      </c>
      <c r="Z7">
        <f t="shared" si="3"/>
        <v>740982019.58064508</v>
      </c>
      <c r="AA7">
        <f t="shared" si="4"/>
        <v>5.4905435334181152E+17</v>
      </c>
    </row>
    <row r="8" spans="1:27" x14ac:dyDescent="0.25">
      <c r="A8" s="11">
        <v>45937.125</v>
      </c>
      <c r="B8">
        <f t="shared" si="0"/>
        <v>7</v>
      </c>
      <c r="C8" s="2" t="s">
        <v>103</v>
      </c>
      <c r="D8" s="2" t="s">
        <v>102</v>
      </c>
      <c r="E8" s="2" t="s">
        <v>101</v>
      </c>
      <c r="F8" s="2" t="s">
        <v>100</v>
      </c>
      <c r="G8" s="2">
        <v>4263519773</v>
      </c>
      <c r="H8" s="2" t="s">
        <v>12</v>
      </c>
      <c r="I8" s="2" t="s">
        <v>11</v>
      </c>
      <c r="M8">
        <v>7</v>
      </c>
      <c r="N8">
        <v>0.26631200313568099</v>
      </c>
      <c r="O8">
        <v>4263519773</v>
      </c>
      <c r="Q8" s="16">
        <v>0.19238300621509499</v>
      </c>
      <c r="R8" s="20">
        <v>1982258702</v>
      </c>
      <c r="U8" s="2">
        <v>0.26631200313568099</v>
      </c>
      <c r="V8">
        <f t="shared" si="1"/>
        <v>5.2395388964684181E-2</v>
      </c>
      <c r="W8">
        <f t="shared" si="2"/>
        <v>2.7452767847605487E-3</v>
      </c>
      <c r="Y8" s="3">
        <v>4263519773</v>
      </c>
      <c r="Z8">
        <f t="shared" si="3"/>
        <v>1065751601.5806451</v>
      </c>
      <c r="AA8">
        <f t="shared" si="4"/>
        <v>1.1358264762717101E+18</v>
      </c>
    </row>
    <row r="9" spans="1:27" x14ac:dyDescent="0.25">
      <c r="A9" s="14">
        <v>45938.125</v>
      </c>
      <c r="B9">
        <f t="shared" si="0"/>
        <v>8</v>
      </c>
      <c r="C9" s="4" t="s">
        <v>100</v>
      </c>
      <c r="D9" s="4" t="s">
        <v>99</v>
      </c>
      <c r="E9" s="4" t="s">
        <v>98</v>
      </c>
      <c r="F9" s="4" t="s">
        <v>97</v>
      </c>
      <c r="G9" s="4">
        <v>3136056857</v>
      </c>
      <c r="H9" s="4" t="s">
        <v>12</v>
      </c>
      <c r="I9" s="4" t="s">
        <v>11</v>
      </c>
      <c r="M9">
        <v>8</v>
      </c>
      <c r="N9">
        <v>0.24731600284576399</v>
      </c>
      <c r="O9">
        <v>3136056857</v>
      </c>
      <c r="Q9" s="17">
        <v>0.19315500557422599</v>
      </c>
      <c r="R9" s="20">
        <v>1984421014</v>
      </c>
      <c r="U9" s="4">
        <v>0.24731600284576399</v>
      </c>
      <c r="V9">
        <f t="shared" si="1"/>
        <v>3.3399388674767189E-2</v>
      </c>
      <c r="W9">
        <f t="shared" si="2"/>
        <v>1.1155191638481667E-3</v>
      </c>
      <c r="Y9" s="1">
        <v>3136056857</v>
      </c>
      <c r="Z9">
        <f t="shared" si="3"/>
        <v>-61711314.419354916</v>
      </c>
      <c r="AA9">
        <f t="shared" si="4"/>
        <v>3808286327364482</v>
      </c>
    </row>
    <row r="10" spans="1:27" x14ac:dyDescent="0.25">
      <c r="A10" s="11">
        <v>45939.125</v>
      </c>
      <c r="B10">
        <f t="shared" si="0"/>
        <v>9</v>
      </c>
      <c r="C10" s="2" t="s">
        <v>96</v>
      </c>
      <c r="D10" s="2" t="s">
        <v>95</v>
      </c>
      <c r="E10" s="2" t="s">
        <v>94</v>
      </c>
      <c r="F10" s="2" t="s">
        <v>93</v>
      </c>
      <c r="G10" s="2">
        <v>3221293489</v>
      </c>
      <c r="H10" s="2" t="s">
        <v>12</v>
      </c>
      <c r="I10" s="2" t="s">
        <v>11</v>
      </c>
      <c r="M10">
        <v>9</v>
      </c>
      <c r="N10">
        <v>0.25556200742721502</v>
      </c>
      <c r="O10">
        <v>3221293489</v>
      </c>
      <c r="Q10" s="17">
        <v>0.19375500082969599</v>
      </c>
      <c r="R10" s="12">
        <v>2121406683</v>
      </c>
      <c r="U10" s="2">
        <v>0.25556200742721502</v>
      </c>
      <c r="V10">
        <f t="shared" si="1"/>
        <v>4.1645393256218216E-2</v>
      </c>
      <c r="W10">
        <f t="shared" si="2"/>
        <v>1.7343387794650656E-3</v>
      </c>
      <c r="Y10" s="3">
        <v>3221293489</v>
      </c>
      <c r="Z10">
        <f t="shared" si="3"/>
        <v>23525317.580645084</v>
      </c>
      <c r="AA10">
        <f t="shared" si="4"/>
        <v>553440567270208.69</v>
      </c>
    </row>
    <row r="11" spans="1:27" x14ac:dyDescent="0.25">
      <c r="A11" s="14">
        <v>45940.125</v>
      </c>
      <c r="B11">
        <f t="shared" si="0"/>
        <v>10</v>
      </c>
      <c r="C11" s="4" t="s">
        <v>93</v>
      </c>
      <c r="D11" s="4" t="s">
        <v>92</v>
      </c>
      <c r="E11" s="4" t="s">
        <v>91</v>
      </c>
      <c r="F11" s="4" t="s">
        <v>90</v>
      </c>
      <c r="G11" s="4">
        <v>8989277920</v>
      </c>
      <c r="H11" s="4" t="s">
        <v>12</v>
      </c>
      <c r="I11" s="4" t="s">
        <v>11</v>
      </c>
      <c r="M11">
        <v>10</v>
      </c>
      <c r="N11">
        <v>0.248563006520271</v>
      </c>
      <c r="O11">
        <v>8989277920</v>
      </c>
      <c r="Q11" s="16">
        <v>0.194386005401611</v>
      </c>
      <c r="R11" s="12">
        <v>2148033213</v>
      </c>
      <c r="U11" s="4">
        <v>0.248563006520271</v>
      </c>
      <c r="V11">
        <f t="shared" si="1"/>
        <v>3.4646392349274191E-2</v>
      </c>
      <c r="W11">
        <f t="shared" si="2"/>
        <v>1.2003725028198451E-3</v>
      </c>
      <c r="Y11" s="1">
        <v>8989277920</v>
      </c>
      <c r="Z11">
        <f t="shared" si="3"/>
        <v>5791509748.5806446</v>
      </c>
      <c r="AA11">
        <f t="shared" si="4"/>
        <v>3.3541585167904641E+19</v>
      </c>
    </row>
    <row r="12" spans="1:27" x14ac:dyDescent="0.25">
      <c r="A12" s="11">
        <v>45941.125</v>
      </c>
      <c r="B12">
        <f t="shared" si="0"/>
        <v>11</v>
      </c>
      <c r="C12" s="2" t="s">
        <v>90</v>
      </c>
      <c r="D12" s="2" t="s">
        <v>89</v>
      </c>
      <c r="E12" s="2" t="s">
        <v>88</v>
      </c>
      <c r="F12" s="2" t="s">
        <v>87</v>
      </c>
      <c r="G12" s="2">
        <v>6948749972</v>
      </c>
      <c r="H12" s="2" t="s">
        <v>12</v>
      </c>
      <c r="I12" s="2" t="s">
        <v>11</v>
      </c>
      <c r="M12">
        <v>11</v>
      </c>
      <c r="N12">
        <v>0.19315500557422599</v>
      </c>
      <c r="O12">
        <v>6948749972</v>
      </c>
      <c r="Q12" s="16">
        <v>0.19485799968242601</v>
      </c>
      <c r="R12" s="9">
        <v>2573427089</v>
      </c>
      <c r="U12" s="2">
        <v>0.19315500557422599</v>
      </c>
      <c r="V12">
        <f t="shared" si="1"/>
        <v>-2.0761608596770814E-2</v>
      </c>
      <c r="W12">
        <f t="shared" si="2"/>
        <v>4.3104439152550776E-4</v>
      </c>
      <c r="Y12" s="3">
        <v>6948749972</v>
      </c>
      <c r="Z12">
        <f t="shared" si="3"/>
        <v>3750981800.5806451</v>
      </c>
      <c r="AA12">
        <f t="shared" si="4"/>
        <v>1.4069864468287218E+19</v>
      </c>
    </row>
    <row r="13" spans="1:27" x14ac:dyDescent="0.25">
      <c r="A13" s="14">
        <v>45942.125</v>
      </c>
      <c r="B13">
        <f t="shared" si="0"/>
        <v>12</v>
      </c>
      <c r="C13" s="4" t="s">
        <v>86</v>
      </c>
      <c r="D13" s="4" t="s">
        <v>85</v>
      </c>
      <c r="E13" s="4" t="s">
        <v>84</v>
      </c>
      <c r="F13" s="4" t="s">
        <v>83</v>
      </c>
      <c r="G13" s="4">
        <v>5183180935</v>
      </c>
      <c r="H13" s="4" t="s">
        <v>12</v>
      </c>
      <c r="I13" s="4" t="s">
        <v>11</v>
      </c>
      <c r="M13">
        <v>12</v>
      </c>
      <c r="N13">
        <v>0.18544100224971699</v>
      </c>
      <c r="O13">
        <v>5183180935</v>
      </c>
      <c r="Q13" s="15">
        <v>0.19532400369644101</v>
      </c>
      <c r="R13" s="12">
        <v>2590886109</v>
      </c>
      <c r="U13" s="4">
        <v>0.18544100224971699</v>
      </c>
      <c r="V13">
        <f t="shared" si="1"/>
        <v>-2.8475611921279814E-2</v>
      </c>
      <c r="W13">
        <f t="shared" si="2"/>
        <v>8.1086047429133304E-4</v>
      </c>
      <c r="Y13" s="1">
        <v>5183180935</v>
      </c>
      <c r="Z13">
        <f t="shared" si="3"/>
        <v>1985412763.5806451</v>
      </c>
      <c r="AA13">
        <f t="shared" si="4"/>
        <v>3.9418638417889347E+18</v>
      </c>
    </row>
    <row r="14" spans="1:27" x14ac:dyDescent="0.25">
      <c r="A14" s="11">
        <v>45943.125</v>
      </c>
      <c r="B14">
        <f t="shared" si="0"/>
        <v>13</v>
      </c>
      <c r="C14" s="2" t="s">
        <v>83</v>
      </c>
      <c r="D14" s="2" t="s">
        <v>82</v>
      </c>
      <c r="E14" s="2" t="s">
        <v>81</v>
      </c>
      <c r="F14" s="2" t="s">
        <v>80</v>
      </c>
      <c r="G14" s="2">
        <v>4745994514</v>
      </c>
      <c r="H14" s="2" t="s">
        <v>12</v>
      </c>
      <c r="I14" s="2" t="s">
        <v>11</v>
      </c>
      <c r="M14">
        <v>13</v>
      </c>
      <c r="N14">
        <v>0.207794994115829</v>
      </c>
      <c r="O14">
        <v>4745994514</v>
      </c>
      <c r="Q14" s="15">
        <v>0.196327999234199</v>
      </c>
      <c r="R14" s="12">
        <v>2783675973</v>
      </c>
      <c r="U14" s="2">
        <v>0.207794994115829</v>
      </c>
      <c r="V14">
        <f t="shared" si="1"/>
        <v>-6.121620055167809E-3</v>
      </c>
      <c r="W14">
        <f t="shared" si="2"/>
        <v>3.7474232099832728E-5</v>
      </c>
      <c r="Y14" s="3">
        <v>4745994514</v>
      </c>
      <c r="Z14">
        <f t="shared" si="3"/>
        <v>1548226342.5806451</v>
      </c>
      <c r="AA14">
        <f t="shared" si="4"/>
        <v>2.3970048078606408E+18</v>
      </c>
    </row>
    <row r="15" spans="1:27" x14ac:dyDescent="0.25">
      <c r="A15" s="14">
        <v>45944.125</v>
      </c>
      <c r="B15">
        <f t="shared" si="0"/>
        <v>14</v>
      </c>
      <c r="C15" s="4" t="s">
        <v>80</v>
      </c>
      <c r="D15" s="4" t="s">
        <v>79</v>
      </c>
      <c r="E15" s="4" t="s">
        <v>78</v>
      </c>
      <c r="F15" s="4" t="s">
        <v>77</v>
      </c>
      <c r="G15" s="4">
        <v>4841725506</v>
      </c>
      <c r="H15" s="4" t="s">
        <v>12</v>
      </c>
      <c r="I15" s="4" t="s">
        <v>11</v>
      </c>
      <c r="M15">
        <v>14</v>
      </c>
      <c r="N15">
        <v>0.21399100124835899</v>
      </c>
      <c r="O15">
        <v>4841725506</v>
      </c>
      <c r="Q15" s="15">
        <v>0.19659000635147</v>
      </c>
      <c r="R15" s="9">
        <v>2809894306</v>
      </c>
      <c r="U15" s="4">
        <v>0.21399100124835899</v>
      </c>
      <c r="V15">
        <f t="shared" si="1"/>
        <v>7.4387077362181309E-5</v>
      </c>
      <c r="W15">
        <f t="shared" si="2"/>
        <v>5.5334372784871468E-9</v>
      </c>
      <c r="Y15" s="1">
        <v>4841725506</v>
      </c>
      <c r="Z15">
        <f t="shared" si="3"/>
        <v>1643957334.5806451</v>
      </c>
      <c r="AA15">
        <f t="shared" si="4"/>
        <v>2.7025957179214991E+18</v>
      </c>
    </row>
    <row r="16" spans="1:27" x14ac:dyDescent="0.25">
      <c r="A16" s="11">
        <v>45945.125</v>
      </c>
      <c r="B16">
        <f t="shared" si="0"/>
        <v>15</v>
      </c>
      <c r="C16" s="2" t="s">
        <v>77</v>
      </c>
      <c r="D16" s="2" t="s">
        <v>76</v>
      </c>
      <c r="E16" s="2" t="s">
        <v>75</v>
      </c>
      <c r="F16" s="2" t="s">
        <v>74</v>
      </c>
      <c r="G16" s="2">
        <v>2877365449</v>
      </c>
      <c r="H16" s="2" t="s">
        <v>12</v>
      </c>
      <c r="I16" s="2" t="s">
        <v>11</v>
      </c>
      <c r="M16">
        <v>15</v>
      </c>
      <c r="N16">
        <v>0.20453199744224501</v>
      </c>
      <c r="O16">
        <v>2877365449</v>
      </c>
      <c r="Q16" s="13">
        <v>0.19769799709319999</v>
      </c>
      <c r="R16" s="12">
        <v>2877365449</v>
      </c>
      <c r="U16" s="2">
        <v>0.20453199744224501</v>
      </c>
      <c r="V16">
        <f t="shared" si="1"/>
        <v>-9.3846167287517934E-3</v>
      </c>
      <c r="W16">
        <f t="shared" si="2"/>
        <v>8.8071031145568008E-5</v>
      </c>
      <c r="Y16" s="3">
        <v>2877365449</v>
      </c>
      <c r="Z16">
        <f t="shared" si="3"/>
        <v>-320402722.41935492</v>
      </c>
      <c r="AA16">
        <f t="shared" si="4"/>
        <v>1.0265790453373419E+17</v>
      </c>
    </row>
    <row r="17" spans="1:27" x14ac:dyDescent="0.25">
      <c r="A17" s="14">
        <v>45946.125</v>
      </c>
      <c r="B17">
        <f t="shared" si="0"/>
        <v>16</v>
      </c>
      <c r="C17" s="4" t="s">
        <v>73</v>
      </c>
      <c r="D17" s="4" t="s">
        <v>72</v>
      </c>
      <c r="E17" s="4" t="s">
        <v>71</v>
      </c>
      <c r="F17" s="4" t="s">
        <v>70</v>
      </c>
      <c r="G17" s="4">
        <v>3498982322</v>
      </c>
      <c r="H17" s="4" t="s">
        <v>12</v>
      </c>
      <c r="I17" s="4" t="s">
        <v>11</v>
      </c>
      <c r="M17">
        <v>16</v>
      </c>
      <c r="N17">
        <v>0.196327999234199</v>
      </c>
      <c r="O17">
        <v>3498982322</v>
      </c>
      <c r="Q17" s="13">
        <v>0.20015600323676999</v>
      </c>
      <c r="R17" s="12">
        <v>2935493861</v>
      </c>
      <c r="S17" t="s">
        <v>69</v>
      </c>
      <c r="U17" s="4">
        <v>0.196327999234199</v>
      </c>
      <c r="V17">
        <f t="shared" si="1"/>
        <v>-1.7588614936797808E-2</v>
      </c>
      <c r="W17">
        <f t="shared" si="2"/>
        <v>3.09359375394947E-4</v>
      </c>
      <c r="Y17" s="1">
        <v>3498982322</v>
      </c>
      <c r="Z17">
        <f t="shared" si="3"/>
        <v>301214150.58064508</v>
      </c>
      <c r="AA17">
        <f t="shared" si="4"/>
        <v>9.0729964510019536E+16</v>
      </c>
    </row>
    <row r="18" spans="1:27" x14ac:dyDescent="0.25">
      <c r="A18" s="11">
        <v>45947.125</v>
      </c>
      <c r="B18">
        <f t="shared" si="0"/>
        <v>17</v>
      </c>
      <c r="C18" s="2" t="s">
        <v>68</v>
      </c>
      <c r="D18" s="2" t="s">
        <v>67</v>
      </c>
      <c r="E18" s="2" t="s">
        <v>66</v>
      </c>
      <c r="F18" s="2" t="s">
        <v>65</v>
      </c>
      <c r="G18" s="2">
        <v>3317944601</v>
      </c>
      <c r="H18" s="2" t="s">
        <v>12</v>
      </c>
      <c r="I18" s="2" t="s">
        <v>11</v>
      </c>
      <c r="M18">
        <v>17</v>
      </c>
      <c r="N18">
        <v>0.18836599588394101</v>
      </c>
      <c r="O18">
        <v>3317944601</v>
      </c>
      <c r="Q18" s="15">
        <v>0.200381994247436</v>
      </c>
      <c r="R18" s="9">
        <v>3112664146</v>
      </c>
      <c r="U18" s="2">
        <v>0.18836599588394101</v>
      </c>
      <c r="V18">
        <f t="shared" si="1"/>
        <v>-2.5550618287055793E-2</v>
      </c>
      <c r="W18">
        <f t="shared" si="2"/>
        <v>6.5283409485082991E-4</v>
      </c>
      <c r="Y18" s="3">
        <v>3317944601</v>
      </c>
      <c r="Z18">
        <f t="shared" si="3"/>
        <v>120176429.58064508</v>
      </c>
      <c r="AA18">
        <f t="shared" si="4"/>
        <v>1.4442374226751746E+16</v>
      </c>
    </row>
    <row r="19" spans="1:27" x14ac:dyDescent="0.25">
      <c r="A19" s="14">
        <v>45948.125</v>
      </c>
      <c r="B19">
        <f t="shared" si="0"/>
        <v>18</v>
      </c>
      <c r="C19" s="4" t="s">
        <v>64</v>
      </c>
      <c r="D19" s="4" t="s">
        <v>63</v>
      </c>
      <c r="E19" s="4" t="s">
        <v>62</v>
      </c>
      <c r="F19" s="4" t="s">
        <v>61</v>
      </c>
      <c r="G19" s="4">
        <v>1238849111</v>
      </c>
      <c r="H19" s="4" t="s">
        <v>12</v>
      </c>
      <c r="I19" s="4" t="s">
        <v>11</v>
      </c>
      <c r="M19">
        <v>18</v>
      </c>
      <c r="N19">
        <v>0.18485000729560799</v>
      </c>
      <c r="O19">
        <v>1238849111</v>
      </c>
      <c r="Q19" s="13">
        <v>0.20453199744224501</v>
      </c>
      <c r="R19" s="9">
        <v>3136056857</v>
      </c>
      <c r="U19" s="4">
        <v>0.18485000729560799</v>
      </c>
      <c r="V19">
        <f t="shared" si="1"/>
        <v>-2.9066606875388812E-2</v>
      </c>
      <c r="W19">
        <f t="shared" si="2"/>
        <v>8.4486763524840012E-4</v>
      </c>
      <c r="Y19" s="1">
        <v>1238849111</v>
      </c>
      <c r="Z19">
        <f t="shared" si="3"/>
        <v>-1958919060.4193549</v>
      </c>
      <c r="AA19">
        <f t="shared" si="4"/>
        <v>3.8373638852742482E+18</v>
      </c>
    </row>
    <row r="20" spans="1:27" x14ac:dyDescent="0.25">
      <c r="A20" s="11">
        <v>45949.125</v>
      </c>
      <c r="B20">
        <f t="shared" si="0"/>
        <v>19</v>
      </c>
      <c r="C20" s="2" t="s">
        <v>61</v>
      </c>
      <c r="D20" s="2" t="s">
        <v>60</v>
      </c>
      <c r="E20" s="2" t="s">
        <v>59</v>
      </c>
      <c r="F20" s="2" t="s">
        <v>58</v>
      </c>
      <c r="G20" s="2">
        <v>1982258702</v>
      </c>
      <c r="H20" s="2" t="s">
        <v>12</v>
      </c>
      <c r="I20" s="2" t="s">
        <v>11</v>
      </c>
      <c r="M20">
        <v>19</v>
      </c>
      <c r="N20">
        <v>0.18959900736808699</v>
      </c>
      <c r="O20">
        <v>1982258702</v>
      </c>
      <c r="Q20" s="10">
        <v>0.20566800236701899</v>
      </c>
      <c r="R20" s="12">
        <v>3221293489</v>
      </c>
      <c r="U20" s="2">
        <v>0.18959900736808699</v>
      </c>
      <c r="V20">
        <f t="shared" si="1"/>
        <v>-2.4317606802909814E-2</v>
      </c>
      <c r="W20">
        <f t="shared" si="2"/>
        <v>5.9134600062092559E-4</v>
      </c>
      <c r="Y20" s="3">
        <v>1982258702</v>
      </c>
      <c r="Z20">
        <f t="shared" si="3"/>
        <v>-1215509469.4193549</v>
      </c>
      <c r="AA20">
        <f t="shared" si="4"/>
        <v>1.4774632702481216E+18</v>
      </c>
    </row>
    <row r="21" spans="1:27" x14ac:dyDescent="0.25">
      <c r="A21" s="14">
        <v>45950.125</v>
      </c>
      <c r="B21">
        <f t="shared" si="0"/>
        <v>20</v>
      </c>
      <c r="C21" s="4" t="s">
        <v>57</v>
      </c>
      <c r="D21" s="4" t="s">
        <v>56</v>
      </c>
      <c r="E21" s="4" t="s">
        <v>55</v>
      </c>
      <c r="F21" s="4" t="s">
        <v>54</v>
      </c>
      <c r="G21" s="4">
        <v>2148033213</v>
      </c>
      <c r="H21" s="4" t="s">
        <v>12</v>
      </c>
      <c r="I21" s="4" t="s">
        <v>11</v>
      </c>
      <c r="M21">
        <v>20</v>
      </c>
      <c r="N21">
        <v>0.19532400369644101</v>
      </c>
      <c r="O21">
        <v>2148033213</v>
      </c>
      <c r="Q21" s="10">
        <v>0.207794994115829</v>
      </c>
      <c r="R21" s="12">
        <v>3285893533</v>
      </c>
      <c r="U21" s="4">
        <v>0.19532400369644101</v>
      </c>
      <c r="V21">
        <f t="shared" si="1"/>
        <v>-1.8592610474555793E-2</v>
      </c>
      <c r="W21">
        <f t="shared" si="2"/>
        <v>3.4568516425856181E-4</v>
      </c>
      <c r="Y21" s="1">
        <v>2148033213</v>
      </c>
      <c r="Z21">
        <f t="shared" si="3"/>
        <v>-1049734958.4193549</v>
      </c>
      <c r="AA21">
        <f t="shared" si="4"/>
        <v>1.1019434829276847E+18</v>
      </c>
    </row>
    <row r="22" spans="1:27" x14ac:dyDescent="0.25">
      <c r="A22" s="11">
        <v>45951.125</v>
      </c>
      <c r="B22">
        <f t="shared" si="0"/>
        <v>21</v>
      </c>
      <c r="C22" s="2" t="s">
        <v>53</v>
      </c>
      <c r="D22" s="2" t="s">
        <v>52</v>
      </c>
      <c r="E22" s="2" t="s">
        <v>51</v>
      </c>
      <c r="F22" s="2" t="s">
        <v>50</v>
      </c>
      <c r="G22" s="2">
        <v>2783675973</v>
      </c>
      <c r="H22" s="2" t="s">
        <v>12</v>
      </c>
      <c r="I22" s="2" t="s">
        <v>11</v>
      </c>
      <c r="M22">
        <v>21</v>
      </c>
      <c r="N22">
        <v>0.20015600323676999</v>
      </c>
      <c r="O22">
        <v>2783675973</v>
      </c>
      <c r="Q22" s="19">
        <v>0.21399100124835899</v>
      </c>
      <c r="R22" s="12">
        <v>3317944601</v>
      </c>
      <c r="U22" s="2">
        <v>0.20015600323676999</v>
      </c>
      <c r="V22">
        <f t="shared" si="1"/>
        <v>-1.3760610934226813E-2</v>
      </c>
      <c r="W22">
        <f t="shared" si="2"/>
        <v>1.8935441328316252E-4</v>
      </c>
      <c r="Y22" s="3">
        <v>2783675973</v>
      </c>
      <c r="Z22">
        <f t="shared" si="3"/>
        <v>-414092198.41935492</v>
      </c>
      <c r="AA22">
        <f t="shared" si="4"/>
        <v>1.714723487917744E+17</v>
      </c>
    </row>
    <row r="23" spans="1:27" x14ac:dyDescent="0.25">
      <c r="A23" s="14">
        <v>45952.125</v>
      </c>
      <c r="B23">
        <f t="shared" si="0"/>
        <v>22</v>
      </c>
      <c r="C23" s="4" t="s">
        <v>49</v>
      </c>
      <c r="D23" s="4" t="s">
        <v>48</v>
      </c>
      <c r="E23" s="4" t="s">
        <v>47</v>
      </c>
      <c r="F23" s="4" t="s">
        <v>46</v>
      </c>
      <c r="G23" s="4">
        <v>2573427089</v>
      </c>
      <c r="H23" s="4" t="s">
        <v>12</v>
      </c>
      <c r="I23" s="4" t="s">
        <v>11</v>
      </c>
      <c r="M23">
        <v>22</v>
      </c>
      <c r="N23">
        <v>0.194386005401611</v>
      </c>
      <c r="O23">
        <v>2573427089</v>
      </c>
      <c r="Q23" s="18">
        <v>0.23290500044822601</v>
      </c>
      <c r="R23" s="12">
        <v>3422890843</v>
      </c>
      <c r="U23" s="4">
        <v>0.194386005401611</v>
      </c>
      <c r="V23">
        <f t="shared" si="1"/>
        <v>-1.953060876938581E-2</v>
      </c>
      <c r="W23">
        <f t="shared" si="2"/>
        <v>3.8144467890280988E-4</v>
      </c>
      <c r="Y23" s="1">
        <v>2573427089</v>
      </c>
      <c r="Z23">
        <f t="shared" si="3"/>
        <v>-624341082.41935492</v>
      </c>
      <c r="AA23">
        <f t="shared" si="4"/>
        <v>3.8980178719657171E+17</v>
      </c>
    </row>
    <row r="24" spans="1:27" x14ac:dyDescent="0.25">
      <c r="A24" s="11">
        <v>45953.125</v>
      </c>
      <c r="B24">
        <f t="shared" si="0"/>
        <v>23</v>
      </c>
      <c r="C24" s="2" t="s">
        <v>46</v>
      </c>
      <c r="D24" s="2" t="s">
        <v>45</v>
      </c>
      <c r="E24" s="2" t="s">
        <v>44</v>
      </c>
      <c r="F24" s="2" t="s">
        <v>43</v>
      </c>
      <c r="G24" s="2">
        <v>1769172845</v>
      </c>
      <c r="H24" s="2" t="s">
        <v>12</v>
      </c>
      <c r="I24" s="2" t="s">
        <v>11</v>
      </c>
      <c r="M24">
        <v>23</v>
      </c>
      <c r="N24">
        <v>0.19000199437141399</v>
      </c>
      <c r="O24">
        <v>1769172845</v>
      </c>
      <c r="Q24" s="16">
        <v>0.24731600284576399</v>
      </c>
      <c r="R24" s="9">
        <v>3466616007</v>
      </c>
      <c r="U24" s="2">
        <v>0.19000199437141399</v>
      </c>
      <c r="V24">
        <f t="shared" si="1"/>
        <v>-2.3914619799582815E-2</v>
      </c>
      <c r="W24">
        <f t="shared" si="2"/>
        <v>5.7190904015859835E-4</v>
      </c>
      <c r="Y24" s="3">
        <v>1769172845</v>
      </c>
      <c r="Z24">
        <f t="shared" si="3"/>
        <v>-1428595326.4193549</v>
      </c>
      <c r="AA24">
        <f t="shared" si="4"/>
        <v>2.0408846066672233E+18</v>
      </c>
    </row>
    <row r="25" spans="1:27" x14ac:dyDescent="0.25">
      <c r="A25" s="14">
        <v>45954.125</v>
      </c>
      <c r="B25">
        <f t="shared" si="0"/>
        <v>24</v>
      </c>
      <c r="C25" s="4" t="s">
        <v>42</v>
      </c>
      <c r="D25" s="4" t="s">
        <v>41</v>
      </c>
      <c r="E25" s="4" t="s">
        <v>40</v>
      </c>
      <c r="F25" s="4" t="s">
        <v>39</v>
      </c>
      <c r="G25" s="4">
        <v>1546313970</v>
      </c>
      <c r="H25" s="4" t="s">
        <v>12</v>
      </c>
      <c r="I25" s="4" t="s">
        <v>11</v>
      </c>
      <c r="M25">
        <v>24</v>
      </c>
      <c r="N25">
        <v>0.19485799968242601</v>
      </c>
      <c r="O25">
        <v>1546313970</v>
      </c>
      <c r="Q25" s="16">
        <v>0.24837200343608801</v>
      </c>
      <c r="R25" s="9">
        <v>3498982322</v>
      </c>
      <c r="U25" s="4">
        <v>0.19485799968242601</v>
      </c>
      <c r="V25">
        <f t="shared" si="1"/>
        <v>-1.9058614488570796E-2</v>
      </c>
      <c r="W25">
        <f t="shared" si="2"/>
        <v>3.632307862239607E-4</v>
      </c>
      <c r="Y25" s="1">
        <v>1546313970</v>
      </c>
      <c r="Z25">
        <f t="shared" si="3"/>
        <v>-1651454201.4193549</v>
      </c>
      <c r="AA25">
        <f t="shared" si="4"/>
        <v>2.7273009793856394E+18</v>
      </c>
    </row>
    <row r="26" spans="1:27" x14ac:dyDescent="0.25">
      <c r="A26" s="11">
        <v>45955.125</v>
      </c>
      <c r="B26">
        <f t="shared" si="0"/>
        <v>25</v>
      </c>
      <c r="C26" s="2" t="s">
        <v>39</v>
      </c>
      <c r="D26" s="2" t="s">
        <v>38</v>
      </c>
      <c r="E26" s="2" t="s">
        <v>37</v>
      </c>
      <c r="F26" s="2" t="s">
        <v>36</v>
      </c>
      <c r="G26" s="2">
        <v>1136645097</v>
      </c>
      <c r="H26" s="2" t="s">
        <v>12</v>
      </c>
      <c r="I26" s="2" t="s">
        <v>11</v>
      </c>
      <c r="M26">
        <v>25</v>
      </c>
      <c r="N26">
        <v>0.19769799709319999</v>
      </c>
      <c r="O26">
        <v>1136645097</v>
      </c>
      <c r="Q26" s="16">
        <v>0.248563006520271</v>
      </c>
      <c r="R26" s="9">
        <v>3938750191</v>
      </c>
      <c r="U26" s="2">
        <v>0.19769799709319999</v>
      </c>
      <c r="V26">
        <f t="shared" si="1"/>
        <v>-1.6218617077796815E-2</v>
      </c>
      <c r="W26">
        <f t="shared" si="2"/>
        <v>2.6304353991620248E-4</v>
      </c>
      <c r="Y26" s="3">
        <v>1136645097</v>
      </c>
      <c r="Z26">
        <f t="shared" si="3"/>
        <v>-2061123074.4193549</v>
      </c>
      <c r="AA26">
        <f t="shared" si="4"/>
        <v>4.2482283279038935E+18</v>
      </c>
    </row>
    <row r="27" spans="1:27" x14ac:dyDescent="0.25">
      <c r="A27" s="14">
        <v>45956.125</v>
      </c>
      <c r="B27">
        <f t="shared" si="0"/>
        <v>26</v>
      </c>
      <c r="C27" s="4" t="s">
        <v>35</v>
      </c>
      <c r="D27" s="4" t="s">
        <v>34</v>
      </c>
      <c r="E27" s="4" t="s">
        <v>33</v>
      </c>
      <c r="F27" s="4" t="s">
        <v>32</v>
      </c>
      <c r="G27" s="4">
        <v>1679630618</v>
      </c>
      <c r="H27" s="4" t="s">
        <v>12</v>
      </c>
      <c r="I27" s="4" t="s">
        <v>11</v>
      </c>
      <c r="M27">
        <v>26</v>
      </c>
      <c r="N27">
        <v>0.19659000635147</v>
      </c>
      <c r="O27">
        <v>1679630618</v>
      </c>
      <c r="Q27" s="17">
        <v>0.25091499090194702</v>
      </c>
      <c r="R27" s="12">
        <v>4263519773</v>
      </c>
      <c r="U27" s="4">
        <v>0.19659000635147</v>
      </c>
      <c r="V27">
        <f t="shared" si="1"/>
        <v>-1.7326607819526801E-2</v>
      </c>
      <c r="W27">
        <f t="shared" si="2"/>
        <v>3.0021133853168732E-4</v>
      </c>
      <c r="Y27" s="1">
        <v>1679630618</v>
      </c>
      <c r="Z27">
        <f t="shared" si="3"/>
        <v>-1518137553.4193549</v>
      </c>
      <c r="AA27">
        <f t="shared" si="4"/>
        <v>2.3047416311021046E+18</v>
      </c>
    </row>
    <row r="28" spans="1:27" x14ac:dyDescent="0.25">
      <c r="A28" s="11">
        <v>45957.125</v>
      </c>
      <c r="B28">
        <f t="shared" si="0"/>
        <v>27</v>
      </c>
      <c r="C28" s="2" t="s">
        <v>31</v>
      </c>
      <c r="D28" s="2" t="s">
        <v>30</v>
      </c>
      <c r="E28" s="2" t="s">
        <v>29</v>
      </c>
      <c r="F28" s="2" t="s">
        <v>28</v>
      </c>
      <c r="G28" s="2">
        <v>1984421014</v>
      </c>
      <c r="H28" s="2" t="s">
        <v>12</v>
      </c>
      <c r="I28" s="2" t="s">
        <v>11</v>
      </c>
      <c r="M28">
        <v>27</v>
      </c>
      <c r="N28">
        <v>0.20566800236701899</v>
      </c>
      <c r="O28">
        <v>1984421014</v>
      </c>
      <c r="Q28" s="16">
        <v>0.25295400619506803</v>
      </c>
      <c r="R28" s="12">
        <v>4745994514</v>
      </c>
      <c r="U28" s="2">
        <v>0.20566800236701899</v>
      </c>
      <c r="V28">
        <f t="shared" si="1"/>
        <v>-8.2486118039778178E-3</v>
      </c>
      <c r="W28">
        <f t="shared" si="2"/>
        <v>6.8039596692722186E-5</v>
      </c>
      <c r="Y28" s="3">
        <v>1984421014</v>
      </c>
      <c r="Z28">
        <f t="shared" si="3"/>
        <v>-1213347157.4193549</v>
      </c>
      <c r="AA28">
        <f t="shared" si="4"/>
        <v>1.4722113244176289E+18</v>
      </c>
    </row>
    <row r="29" spans="1:27" x14ac:dyDescent="0.25">
      <c r="A29" s="14">
        <v>45958.125</v>
      </c>
      <c r="B29">
        <f t="shared" si="0"/>
        <v>28</v>
      </c>
      <c r="C29" s="4" t="s">
        <v>28</v>
      </c>
      <c r="D29" s="4" t="s">
        <v>27</v>
      </c>
      <c r="E29" s="4" t="s">
        <v>26</v>
      </c>
      <c r="F29" s="4" t="s">
        <v>25</v>
      </c>
      <c r="G29" s="4">
        <v>2809894306</v>
      </c>
      <c r="H29" s="4" t="s">
        <v>12</v>
      </c>
      <c r="I29" s="4" t="s">
        <v>11</v>
      </c>
      <c r="M29">
        <v>28</v>
      </c>
      <c r="N29">
        <v>0.200381994247436</v>
      </c>
      <c r="O29">
        <v>2809894306</v>
      </c>
      <c r="Q29" s="13">
        <v>0.25556200742721502</v>
      </c>
      <c r="R29" s="9">
        <v>4841725506</v>
      </c>
      <c r="U29" s="4">
        <v>0.200381994247436</v>
      </c>
      <c r="V29">
        <f t="shared" si="1"/>
        <v>-1.3534619923560809E-2</v>
      </c>
      <c r="W29">
        <f t="shared" si="2"/>
        <v>1.831859364752492E-4</v>
      </c>
      <c r="Y29" s="1">
        <v>2809894306</v>
      </c>
      <c r="Z29">
        <f t="shared" si="3"/>
        <v>-387873865.41935492</v>
      </c>
      <c r="AA29">
        <f t="shared" si="4"/>
        <v>1.5044613547535184E+17</v>
      </c>
    </row>
    <row r="30" spans="1:27" x14ac:dyDescent="0.25">
      <c r="A30" s="11">
        <v>45959.125</v>
      </c>
      <c r="B30">
        <f t="shared" si="0"/>
        <v>29</v>
      </c>
      <c r="C30" s="2" t="s">
        <v>24</v>
      </c>
      <c r="D30" s="2" t="s">
        <v>23</v>
      </c>
      <c r="E30" s="2" t="s">
        <v>22</v>
      </c>
      <c r="F30" s="2" t="s">
        <v>21</v>
      </c>
      <c r="G30" s="2">
        <v>2590886109</v>
      </c>
      <c r="H30" s="2" t="s">
        <v>12</v>
      </c>
      <c r="I30" s="2" t="s">
        <v>11</v>
      </c>
      <c r="M30">
        <v>29</v>
      </c>
      <c r="N30">
        <v>0.19375500082969599</v>
      </c>
      <c r="O30">
        <v>2590886109</v>
      </c>
      <c r="Q30" s="15">
        <v>0.25860399007797202</v>
      </c>
      <c r="R30" s="9">
        <v>5183180935</v>
      </c>
      <c r="U30" s="2">
        <v>0.19375500082969599</v>
      </c>
      <c r="V30">
        <f t="shared" si="1"/>
        <v>-2.0161613341300816E-2</v>
      </c>
      <c r="W30">
        <f t="shared" si="2"/>
        <v>4.0649065252411907E-4</v>
      </c>
      <c r="Y30" s="3">
        <v>2590886109</v>
      </c>
      <c r="Z30">
        <f t="shared" si="3"/>
        <v>-606882062.41935492</v>
      </c>
      <c r="AA30">
        <f t="shared" si="4"/>
        <v>3.6830583768636979E+17</v>
      </c>
    </row>
    <row r="31" spans="1:27" x14ac:dyDescent="0.25">
      <c r="A31" s="14">
        <v>45960.125</v>
      </c>
      <c r="B31">
        <f t="shared" si="0"/>
        <v>30</v>
      </c>
      <c r="C31" s="4" t="s">
        <v>20</v>
      </c>
      <c r="D31" s="4" t="s">
        <v>19</v>
      </c>
      <c r="E31" s="4" t="s">
        <v>18</v>
      </c>
      <c r="F31" s="4" t="s">
        <v>17</v>
      </c>
      <c r="G31" s="4">
        <v>3112664146</v>
      </c>
      <c r="H31" s="4" t="s">
        <v>12</v>
      </c>
      <c r="I31" s="4" t="s">
        <v>11</v>
      </c>
      <c r="M31">
        <v>30</v>
      </c>
      <c r="N31">
        <v>0.19238300621509499</v>
      </c>
      <c r="O31">
        <v>3112664146</v>
      </c>
      <c r="Q31" s="13">
        <v>0.26194000244140597</v>
      </c>
      <c r="R31" s="12">
        <v>6948749972</v>
      </c>
      <c r="U31" s="4">
        <v>0.19238300621509499</v>
      </c>
      <c r="V31">
        <f t="shared" si="1"/>
        <v>-2.1533607955901812E-2</v>
      </c>
      <c r="W31">
        <f t="shared" si="2"/>
        <v>4.6369627159847785E-4</v>
      </c>
      <c r="Y31" s="1">
        <v>3112664146</v>
      </c>
      <c r="Z31">
        <f t="shared" si="3"/>
        <v>-85104025.419354916</v>
      </c>
      <c r="AA31">
        <f t="shared" si="4"/>
        <v>7242695142578208</v>
      </c>
    </row>
    <row r="32" spans="1:27" x14ac:dyDescent="0.25">
      <c r="A32" s="11">
        <v>45961.125</v>
      </c>
      <c r="B32">
        <f t="shared" si="0"/>
        <v>31</v>
      </c>
      <c r="C32" s="2" t="s">
        <v>16</v>
      </c>
      <c r="D32" s="2" t="s">
        <v>15</v>
      </c>
      <c r="E32" s="2" t="s">
        <v>14</v>
      </c>
      <c r="F32" s="2" t="s">
        <v>13</v>
      </c>
      <c r="G32" s="2">
        <v>1579798665</v>
      </c>
      <c r="H32" s="2" t="s">
        <v>12</v>
      </c>
      <c r="I32" s="2" t="s">
        <v>11</v>
      </c>
      <c r="M32">
        <v>31</v>
      </c>
      <c r="N32">
        <v>0.182713001966476</v>
      </c>
      <c r="O32">
        <v>1579798665</v>
      </c>
      <c r="Q32" s="10">
        <v>0.26631200313568099</v>
      </c>
      <c r="R32" s="9">
        <v>8989277920</v>
      </c>
      <c r="U32" s="2">
        <v>0.182713001966476</v>
      </c>
      <c r="V32">
        <f t="shared" si="1"/>
        <v>-3.1203612204520809E-2</v>
      </c>
      <c r="W32">
        <f t="shared" si="2"/>
        <v>9.7366541461011997E-4</v>
      </c>
      <c r="Y32" s="3">
        <v>1579798665</v>
      </c>
      <c r="Z32">
        <f t="shared" si="3"/>
        <v>-1617969506.4193549</v>
      </c>
      <c r="AA32">
        <f t="shared" si="4"/>
        <v>2.617825323702891E+18</v>
      </c>
    </row>
    <row r="34" spans="13:18" x14ac:dyDescent="0.25">
      <c r="M34" t="s">
        <v>10</v>
      </c>
      <c r="N34">
        <v>31</v>
      </c>
      <c r="Q34" s="8" t="s">
        <v>9</v>
      </c>
      <c r="R34" s="7" t="s">
        <v>8</v>
      </c>
    </row>
    <row r="35" spans="13:18" x14ac:dyDescent="0.25">
      <c r="M35" t="s">
        <v>7</v>
      </c>
      <c r="N35">
        <f>SUM(Таблица4[Открытие]) / $N$34</f>
        <v>0.2139166141709968</v>
      </c>
      <c r="O35">
        <f>SUM(Таблица4[Объем продаж]) / $N$34</f>
        <v>3197768171.4193549</v>
      </c>
      <c r="Q35" s="2">
        <v>0.182713001966476</v>
      </c>
      <c r="R35" s="3">
        <v>1136645097</v>
      </c>
    </row>
    <row r="36" spans="13:18" x14ac:dyDescent="0.25">
      <c r="M36" t="s">
        <v>6</v>
      </c>
      <c r="N36">
        <f>Q17</f>
        <v>0.20015600323676999</v>
      </c>
      <c r="O36">
        <f>R17</f>
        <v>2935493861</v>
      </c>
      <c r="Q36" s="4">
        <v>0.18485000729560799</v>
      </c>
      <c r="R36" s="1">
        <v>1238849111</v>
      </c>
    </row>
    <row r="37" spans="13:18" x14ac:dyDescent="0.25">
      <c r="M37" t="s">
        <v>5</v>
      </c>
      <c r="N37">
        <v>0.19</v>
      </c>
      <c r="O37" s="6">
        <v>1980000000</v>
      </c>
      <c r="Q37" s="4">
        <v>0.18544100224971699</v>
      </c>
      <c r="R37" s="1">
        <v>1546313970</v>
      </c>
    </row>
    <row r="38" spans="13:18" x14ac:dyDescent="0.25">
      <c r="M38" t="s">
        <v>4</v>
      </c>
      <c r="N38">
        <f>Q35</f>
        <v>0.182713001966476</v>
      </c>
      <c r="O38">
        <f>R35</f>
        <v>1136645097</v>
      </c>
      <c r="Q38" s="2">
        <v>0.18836599588394101</v>
      </c>
      <c r="R38" s="3">
        <v>1579798665</v>
      </c>
    </row>
    <row r="39" spans="13:18" x14ac:dyDescent="0.25">
      <c r="M39" t="s">
        <v>3</v>
      </c>
      <c r="N39">
        <f>Q65</f>
        <v>0.26631200313568099</v>
      </c>
      <c r="O39">
        <f>R65</f>
        <v>8989277920</v>
      </c>
      <c r="Q39" s="2">
        <v>0.18959900736808699</v>
      </c>
      <c r="R39" s="1">
        <v>1679630618</v>
      </c>
    </row>
    <row r="40" spans="13:18" x14ac:dyDescent="0.25">
      <c r="Q40" s="2">
        <v>0.19000199437141399</v>
      </c>
      <c r="R40" s="3">
        <v>1769172845</v>
      </c>
    </row>
    <row r="41" spans="13:18" x14ac:dyDescent="0.25">
      <c r="M41" t="s">
        <v>2</v>
      </c>
      <c r="N41">
        <f>N39-N38</f>
        <v>8.3599001169204989E-2</v>
      </c>
      <c r="O41">
        <f>O39-O38</f>
        <v>7852632823</v>
      </c>
      <c r="Q41" s="4">
        <v>0.19238300621509499</v>
      </c>
      <c r="R41" s="3">
        <v>1982258702</v>
      </c>
    </row>
    <row r="42" spans="13:18" x14ac:dyDescent="0.25">
      <c r="M42" t="s">
        <v>1</v>
      </c>
      <c r="N42">
        <f>SUM(W2:W32) / (N34 - 1)</f>
        <v>7.9383549128980908E-4</v>
      </c>
      <c r="O42">
        <f>SUM(AA2:AA32) / (N34 - 1)</f>
        <v>2.7607761920810568E+18</v>
      </c>
      <c r="Q42" s="2">
        <v>0.19315500557422599</v>
      </c>
      <c r="R42" s="3">
        <v>1984421014</v>
      </c>
    </row>
    <row r="43" spans="13:18" x14ac:dyDescent="0.25">
      <c r="M43" s="5" t="s">
        <v>0</v>
      </c>
      <c r="N43">
        <f>SQRT(N42)</f>
        <v>2.8175086358160628E-2</v>
      </c>
      <c r="O43">
        <f>SQRT(O42)</f>
        <v>1661558362.5262933</v>
      </c>
      <c r="Q43" s="2">
        <v>0.19375500082969599</v>
      </c>
      <c r="R43" s="1">
        <v>2121406683</v>
      </c>
    </row>
    <row r="44" spans="13:18" x14ac:dyDescent="0.25">
      <c r="Q44" s="4">
        <v>0.194386005401611</v>
      </c>
      <c r="R44" s="1">
        <v>2148033213</v>
      </c>
    </row>
    <row r="45" spans="13:18" x14ac:dyDescent="0.25">
      <c r="Q45" s="4">
        <v>0.19485799968242601</v>
      </c>
      <c r="R45" s="1">
        <v>2573427089</v>
      </c>
    </row>
    <row r="46" spans="13:18" x14ac:dyDescent="0.25">
      <c r="Q46" s="4">
        <v>0.19532400369644101</v>
      </c>
      <c r="R46" s="3">
        <v>2590886109</v>
      </c>
    </row>
    <row r="47" spans="13:18" x14ac:dyDescent="0.25">
      <c r="Q47" s="4">
        <v>0.196327999234199</v>
      </c>
      <c r="R47" s="3">
        <v>2783675973</v>
      </c>
    </row>
    <row r="48" spans="13:18" x14ac:dyDescent="0.25">
      <c r="Q48" s="4">
        <v>0.19659000635147</v>
      </c>
      <c r="R48" s="1">
        <v>2809894306</v>
      </c>
    </row>
    <row r="49" spans="17:18" x14ac:dyDescent="0.25">
      <c r="Q49" s="2">
        <v>0.19769799709319999</v>
      </c>
      <c r="R49" s="3">
        <v>2877365449</v>
      </c>
    </row>
    <row r="50" spans="17:18" x14ac:dyDescent="0.25">
      <c r="Q50" s="2">
        <v>0.20015600323676999</v>
      </c>
      <c r="R50" s="3">
        <v>2935493861</v>
      </c>
    </row>
    <row r="51" spans="17:18" x14ac:dyDescent="0.25">
      <c r="Q51" s="4">
        <v>0.200381994247436</v>
      </c>
      <c r="R51" s="1">
        <v>3112664146</v>
      </c>
    </row>
    <row r="52" spans="17:18" x14ac:dyDescent="0.25">
      <c r="Q52" s="2">
        <v>0.20453199744224501</v>
      </c>
      <c r="R52" s="1">
        <v>3136056857</v>
      </c>
    </row>
    <row r="53" spans="17:18" x14ac:dyDescent="0.25">
      <c r="Q53" s="2">
        <v>0.20566800236701899</v>
      </c>
      <c r="R53" s="3">
        <v>3221293489</v>
      </c>
    </row>
    <row r="54" spans="17:18" x14ac:dyDescent="0.25">
      <c r="Q54" s="2">
        <v>0.207794994115829</v>
      </c>
      <c r="R54" s="3">
        <v>3285893533</v>
      </c>
    </row>
    <row r="55" spans="17:18" x14ac:dyDescent="0.25">
      <c r="Q55" s="4">
        <v>0.21399100124835899</v>
      </c>
      <c r="R55" s="3">
        <v>3317944601</v>
      </c>
    </row>
    <row r="56" spans="17:18" x14ac:dyDescent="0.25">
      <c r="Q56" s="2">
        <v>0.23290500044822601</v>
      </c>
      <c r="R56" s="3">
        <v>3422890843</v>
      </c>
    </row>
    <row r="57" spans="17:18" x14ac:dyDescent="0.25">
      <c r="Q57" s="4">
        <v>0.24731600284576399</v>
      </c>
      <c r="R57" s="1">
        <v>3466616007</v>
      </c>
    </row>
    <row r="58" spans="17:18" x14ac:dyDescent="0.25">
      <c r="Q58" s="4">
        <v>0.24837200343608801</v>
      </c>
      <c r="R58" s="1">
        <v>3498982322</v>
      </c>
    </row>
    <row r="59" spans="17:18" x14ac:dyDescent="0.25">
      <c r="Q59" s="4">
        <v>0.248563006520271</v>
      </c>
      <c r="R59" s="1">
        <v>3938750191</v>
      </c>
    </row>
    <row r="60" spans="17:18" x14ac:dyDescent="0.25">
      <c r="Q60" s="2">
        <v>0.25091499090194702</v>
      </c>
      <c r="R60" s="3">
        <v>4263519773</v>
      </c>
    </row>
    <row r="61" spans="17:18" x14ac:dyDescent="0.25">
      <c r="Q61" s="4">
        <v>0.25295400619506803</v>
      </c>
      <c r="R61" s="3">
        <v>4745994514</v>
      </c>
    </row>
    <row r="62" spans="17:18" x14ac:dyDescent="0.25">
      <c r="Q62" s="2">
        <v>0.25556200742721502</v>
      </c>
      <c r="R62" s="1">
        <v>4841725506</v>
      </c>
    </row>
    <row r="63" spans="17:18" x14ac:dyDescent="0.25">
      <c r="Q63" s="4">
        <v>0.25860399007797202</v>
      </c>
      <c r="R63" s="1">
        <v>5183180935</v>
      </c>
    </row>
    <row r="64" spans="17:18" x14ac:dyDescent="0.25">
      <c r="Q64" s="2">
        <v>0.26194000244140597</v>
      </c>
      <c r="R64" s="3">
        <v>6948749972</v>
      </c>
    </row>
    <row r="65" spans="17:18" x14ac:dyDescent="0.25">
      <c r="Q65" s="2">
        <v>0.26631200313568099</v>
      </c>
      <c r="R65" s="1">
        <v>8989277920</v>
      </c>
    </row>
  </sheetData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Kadarmetov</dc:creator>
  <cp:lastModifiedBy>Dmitry Kadarmetov</cp:lastModifiedBy>
  <dcterms:created xsi:type="dcterms:W3CDTF">2025-11-20T12:32:31Z</dcterms:created>
  <dcterms:modified xsi:type="dcterms:W3CDTF">2025-11-20T12:34:05Z</dcterms:modified>
</cp:coreProperties>
</file>