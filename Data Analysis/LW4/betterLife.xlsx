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xr:revisionPtr revIDLastSave="0" documentId="13_ncr:1_{1132EF07-AC11-4572-865E-8E6A522D78E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etter-life-index-2024" sheetId="2" r:id="rId1"/>
    <sheet name="Лист1" sheetId="1" r:id="rId2"/>
  </sheets>
  <definedNames>
    <definedName name="ExternalData_1" localSheetId="0" hidden="1">'better-life-index-2024'!$A$1:$Z$39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M2" i="1"/>
  <c r="N2" i="1"/>
  <c r="O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C41" i="1"/>
  <c r="D41" i="1"/>
  <c r="E41" i="1"/>
  <c r="F41" i="1"/>
  <c r="G41" i="1"/>
  <c r="B4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985AD8-B50E-4D59-9102-BC07ABD9D24A}" keepAlive="1" name="Запрос — better-life-index-2024" description="Соединение с запросом &quot;better-life-index-2024&quot; в книге." type="5" refreshedVersion="7" background="1" saveData="1">
    <dbPr connection="Provider=Microsoft.Mashup.OleDb.1;Data Source=$Workbook$;Location=better-life-index-2024;Extended Properties=&quot;&quot;" command="SELECT * FROM [better-life-index-2024]"/>
  </connection>
</connections>
</file>

<file path=xl/sharedStrings.xml><?xml version="1.0" encoding="utf-8"?>
<sst xmlns="http://schemas.openxmlformats.org/spreadsheetml/2006/main" count="611" uniqueCount="261">
  <si>
    <t>Country</t>
  </si>
  <si>
    <t>GDP per capita (USD)</t>
  </si>
  <si>
    <t xml:space="preserve">  Dwellings without basic facilities</t>
  </si>
  <si>
    <t xml:space="preserve">  Housing expenditure</t>
  </si>
  <si>
    <t xml:space="preserve">  Rooms per person</t>
  </si>
  <si>
    <t xml:space="preserve">  Household net adjusted disposable income</t>
  </si>
  <si>
    <t xml:space="preserve">  Household net wealth</t>
  </si>
  <si>
    <t xml:space="preserve">  Labour market insecurity</t>
  </si>
  <si>
    <t xml:space="preserve">  Employment rate</t>
  </si>
  <si>
    <t xml:space="preserve">  Long-term unemployment rate</t>
  </si>
  <si>
    <t xml:space="preserve">  Personal earnings</t>
  </si>
  <si>
    <t xml:space="preserve">  Quality of support network</t>
  </si>
  <si>
    <t xml:space="preserve">  Educational attainment</t>
  </si>
  <si>
    <t xml:space="preserve">  Student skills</t>
  </si>
  <si>
    <t xml:space="preserve">  Years in education</t>
  </si>
  <si>
    <t xml:space="preserve">  Air pollution</t>
  </si>
  <si>
    <t xml:space="preserve">  Water quality</t>
  </si>
  <si>
    <t xml:space="preserve">  Stakeholder engagement for developing regulations</t>
  </si>
  <si>
    <t xml:space="preserve">  Voter turnout</t>
  </si>
  <si>
    <t xml:space="preserve">  Life expectancy</t>
  </si>
  <si>
    <t xml:space="preserve">  Self-reported health</t>
  </si>
  <si>
    <t xml:space="preserve">  Feeling safe walking alone at night</t>
  </si>
  <si>
    <t xml:space="preserve">  Homicide rate</t>
  </si>
  <si>
    <t xml:space="preserve">  Employees working very long hours</t>
  </si>
  <si>
    <t xml:space="preserve">  Time devoted to leisure and personal care</t>
  </si>
  <si>
    <t xml:space="preserve">  Life satisfaction</t>
  </si>
  <si>
    <t>Australia</t>
  </si>
  <si>
    <t/>
  </si>
  <si>
    <t>19.4</t>
  </si>
  <si>
    <t>3.1</t>
  </si>
  <si>
    <t>1</t>
  </si>
  <si>
    <t>6.7</t>
  </si>
  <si>
    <t>2.7</t>
  </si>
  <si>
    <t>83</t>
  </si>
  <si>
    <t>0.9</t>
  </si>
  <si>
    <t>12.5</t>
  </si>
  <si>
    <t>14.36</t>
  </si>
  <si>
    <t>7.1</t>
  </si>
  <si>
    <t>Austria</t>
  </si>
  <si>
    <t>0.8</t>
  </si>
  <si>
    <t>20.8</t>
  </si>
  <si>
    <t>1.6</t>
  </si>
  <si>
    <t>2.3</t>
  </si>
  <si>
    <t>1.3</t>
  </si>
  <si>
    <t>12.2</t>
  </si>
  <si>
    <t>82</t>
  </si>
  <si>
    <t>0.5</t>
  </si>
  <si>
    <t>5.3</t>
  </si>
  <si>
    <t>14.51</t>
  </si>
  <si>
    <t>7.2</t>
  </si>
  <si>
    <t>Belgium</t>
  </si>
  <si>
    <t>0.7</t>
  </si>
  <si>
    <t>20</t>
  </si>
  <si>
    <t>2.1</t>
  </si>
  <si>
    <t>2.4</t>
  </si>
  <si>
    <t>12.8</t>
  </si>
  <si>
    <t>2</t>
  </si>
  <si>
    <t>82.1</t>
  </si>
  <si>
    <t>1.1</t>
  </si>
  <si>
    <t>4.3</t>
  </si>
  <si>
    <t>15.52</t>
  </si>
  <si>
    <t>6.8</t>
  </si>
  <si>
    <t>Canada</t>
  </si>
  <si>
    <t>0.2</t>
  </si>
  <si>
    <t>22.9</t>
  </si>
  <si>
    <t>2.6</t>
  </si>
  <si>
    <t>3.8</t>
  </si>
  <si>
    <t>2.9</t>
  </si>
  <si>
    <t>1.2</t>
  </si>
  <si>
    <t>3.3</t>
  </si>
  <si>
    <t>14.57</t>
  </si>
  <si>
    <t>7</t>
  </si>
  <si>
    <t>Chile</t>
  </si>
  <si>
    <t>9.4</t>
  </si>
  <si>
    <t>18.4</t>
  </si>
  <si>
    <t>1.9</t>
  </si>
  <si>
    <t>23.4</t>
  </si>
  <si>
    <t>80.6</t>
  </si>
  <si>
    <t>7.7</t>
  </si>
  <si>
    <t>6.2</t>
  </si>
  <si>
    <t>Colombia</t>
  </si>
  <si>
    <t>12.3</t>
  </si>
  <si>
    <t>22.6</t>
  </si>
  <si>
    <t>1.4</t>
  </si>
  <si>
    <t>76.7</t>
  </si>
  <si>
    <t>23.1</t>
  </si>
  <si>
    <t>23.7</t>
  </si>
  <si>
    <t>5.7</t>
  </si>
  <si>
    <t>Costa Rica</t>
  </si>
  <si>
    <t>17</t>
  </si>
  <si>
    <t>1.5</t>
  </si>
  <si>
    <t>17.5</t>
  </si>
  <si>
    <t>1.8</t>
  </si>
  <si>
    <t>80.5</t>
  </si>
  <si>
    <t>10</t>
  </si>
  <si>
    <t>22</t>
  </si>
  <si>
    <t>6.3</t>
  </si>
  <si>
    <t>Czechia</t>
  </si>
  <si>
    <t>0.6</t>
  </si>
  <si>
    <t>79.3</t>
  </si>
  <si>
    <t>4.5</t>
  </si>
  <si>
    <t>6.9</t>
  </si>
  <si>
    <t>Denmark</t>
  </si>
  <si>
    <t>23.3</t>
  </si>
  <si>
    <t>81.5</t>
  </si>
  <si>
    <t>7.5</t>
  </si>
  <si>
    <t>Estonia</t>
  </si>
  <si>
    <t>1.7</t>
  </si>
  <si>
    <t>5.4</t>
  </si>
  <si>
    <t>5.9</t>
  </si>
  <si>
    <t>78.8</t>
  </si>
  <si>
    <t>2.2</t>
  </si>
  <si>
    <t>14.98</t>
  </si>
  <si>
    <t>6.5</t>
  </si>
  <si>
    <t>Finland</t>
  </si>
  <si>
    <t>0.4</t>
  </si>
  <si>
    <t>5.5</t>
  </si>
  <si>
    <t>3.6</t>
  </si>
  <si>
    <t>15.17</t>
  </si>
  <si>
    <t>7.9</t>
  </si>
  <si>
    <t>France</t>
  </si>
  <si>
    <t>20.7</t>
  </si>
  <si>
    <t>11.4</t>
  </si>
  <si>
    <t>82.9</t>
  </si>
  <si>
    <t>16.2</t>
  </si>
  <si>
    <t>Germany</t>
  </si>
  <si>
    <t>0.1</t>
  </si>
  <si>
    <t>12</t>
  </si>
  <si>
    <t>81.4</t>
  </si>
  <si>
    <t>3.9</t>
  </si>
  <si>
    <t>15.62</t>
  </si>
  <si>
    <t>7.3</t>
  </si>
  <si>
    <t>Greece</t>
  </si>
  <si>
    <t>21.8</t>
  </si>
  <si>
    <t>21.7</t>
  </si>
  <si>
    <t>10.8</t>
  </si>
  <si>
    <t>14.5</t>
  </si>
  <si>
    <t>81.7</t>
  </si>
  <si>
    <t>15.03</t>
  </si>
  <si>
    <t>5.8</t>
  </si>
  <si>
    <t>Hungary</t>
  </si>
  <si>
    <t>3.5</t>
  </si>
  <si>
    <t>19.9</t>
  </si>
  <si>
    <t>16.7</t>
  </si>
  <si>
    <t>76.4</t>
  </si>
  <si>
    <t>15.08</t>
  </si>
  <si>
    <t>6</t>
  </si>
  <si>
    <t>Iceland</t>
  </si>
  <si>
    <t>0</t>
  </si>
  <si>
    <t>6.4</t>
  </si>
  <si>
    <t>83.2</t>
  </si>
  <si>
    <t>0.3</t>
  </si>
  <si>
    <t>11.7</t>
  </si>
  <si>
    <t>7.6</t>
  </si>
  <si>
    <t>Ireland</t>
  </si>
  <si>
    <t>20.6</t>
  </si>
  <si>
    <t>7.8</t>
  </si>
  <si>
    <t>82.8</t>
  </si>
  <si>
    <t>4.7</t>
  </si>
  <si>
    <t>14.54</t>
  </si>
  <si>
    <t>Israel</t>
  </si>
  <si>
    <t>4.6</t>
  </si>
  <si>
    <t>19.7</t>
  </si>
  <si>
    <t>2.5</t>
  </si>
  <si>
    <t>14.1</t>
  </si>
  <si>
    <t>Italy</t>
  </si>
  <si>
    <t>22.5</t>
  </si>
  <si>
    <t>8.6</t>
  </si>
  <si>
    <t>4.8</t>
  </si>
  <si>
    <t>15.9</t>
  </si>
  <si>
    <t>83.6</t>
  </si>
  <si>
    <t>16.47</t>
  </si>
  <si>
    <t>Japan</t>
  </si>
  <si>
    <t>13.7</t>
  </si>
  <si>
    <t>84.4</t>
  </si>
  <si>
    <t>6.1</t>
  </si>
  <si>
    <t>Korea</t>
  </si>
  <si>
    <t>14.7</t>
  </si>
  <si>
    <t>27.3</t>
  </si>
  <si>
    <t>83.3</t>
  </si>
  <si>
    <t>14.83</t>
  </si>
  <si>
    <t>Latvia</t>
  </si>
  <si>
    <t>11.2</t>
  </si>
  <si>
    <t>12.7</t>
  </si>
  <si>
    <t>75.5</t>
  </si>
  <si>
    <t>3.7</t>
  </si>
  <si>
    <t>Lithuania</t>
  </si>
  <si>
    <t>11.8</t>
  </si>
  <si>
    <t>10.5</t>
  </si>
  <si>
    <t>Luxembourg</t>
  </si>
  <si>
    <t>82.7</t>
  </si>
  <si>
    <t>2.8</t>
  </si>
  <si>
    <t>7.4</t>
  </si>
  <si>
    <t>Mexico</t>
  </si>
  <si>
    <t>25.9</t>
  </si>
  <si>
    <t>17.8</t>
  </si>
  <si>
    <t>4</t>
  </si>
  <si>
    <t>20.3</t>
  </si>
  <si>
    <t>3.2</t>
  </si>
  <si>
    <t>75.1</t>
  </si>
  <si>
    <t>26.8</t>
  </si>
  <si>
    <t>27</t>
  </si>
  <si>
    <t>Netherlands</t>
  </si>
  <si>
    <t>19.6</t>
  </si>
  <si>
    <t>82.2</t>
  </si>
  <si>
    <t>15.45</t>
  </si>
  <si>
    <t>New Zealand</t>
  </si>
  <si>
    <t>25</t>
  </si>
  <si>
    <t>14</t>
  </si>
  <si>
    <t>14.87</t>
  </si>
  <si>
    <t>Norway</t>
  </si>
  <si>
    <t>17.7</t>
  </si>
  <si>
    <t>15.67</t>
  </si>
  <si>
    <t>Poland</t>
  </si>
  <si>
    <t>21.2</t>
  </si>
  <si>
    <t>5</t>
  </si>
  <si>
    <t>22.8</t>
  </si>
  <si>
    <t>78</t>
  </si>
  <si>
    <t>4.2</t>
  </si>
  <si>
    <t>14.68</t>
  </si>
  <si>
    <t>Portugal</t>
  </si>
  <si>
    <t>8.1</t>
  </si>
  <si>
    <t>8.3</t>
  </si>
  <si>
    <t>81.8</t>
  </si>
  <si>
    <t>5.6</t>
  </si>
  <si>
    <t>Slovak Republic</t>
  </si>
  <si>
    <t>27.4</t>
  </si>
  <si>
    <t>8.8</t>
  </si>
  <si>
    <t>3</t>
  </si>
  <si>
    <t>18.5</t>
  </si>
  <si>
    <t>77.8</t>
  </si>
  <si>
    <t>Slovenia</t>
  </si>
  <si>
    <t>18.2</t>
  </si>
  <si>
    <t>81.6</t>
  </si>
  <si>
    <t>Spain</t>
  </si>
  <si>
    <t>15.8</t>
  </si>
  <si>
    <t>83.9</t>
  </si>
  <si>
    <t>15.75</t>
  </si>
  <si>
    <t>Sweden</t>
  </si>
  <si>
    <t>20.1</t>
  </si>
  <si>
    <t>4.4</t>
  </si>
  <si>
    <t>Switzerland</t>
  </si>
  <si>
    <t>21.4</t>
  </si>
  <si>
    <t>10.1</t>
  </si>
  <si>
    <t>84</t>
  </si>
  <si>
    <t>Türkiye</t>
  </si>
  <si>
    <t>4.9</t>
  </si>
  <si>
    <t>18.9</t>
  </si>
  <si>
    <t>13</t>
  </si>
  <si>
    <t>27.1</t>
  </si>
  <si>
    <t>78.6</t>
  </si>
  <si>
    <t>14.61</t>
  </si>
  <si>
    <t>United Kingdom</t>
  </si>
  <si>
    <t>23.2</t>
  </si>
  <si>
    <t>81.3</t>
  </si>
  <si>
    <t>14.94</t>
  </si>
  <si>
    <t>United States</t>
  </si>
  <si>
    <t>18.3</t>
  </si>
  <si>
    <t>78.9</t>
  </si>
  <si>
    <t>10.4</t>
  </si>
  <si>
    <t>Xср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</si>
</sst>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NumberFormat="1" applyFont="1" applyBorder="1"/>
    <xf numFmtId="0" fontId="0" fillId="0" borderId="3" xfId="0" applyFont="1" applyBorder="1"/>
    <xf numFmtId="0" fontId="0" fillId="0" borderId="2" xfId="0" applyNumberFormat="1" applyFont="1" applyBorder="1"/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07BAB4-14A5-41A7-8174-953D456C9F2A}" autoFormatId="16" applyNumberFormats="0" applyBorderFormats="0" applyFontFormats="0" applyPatternFormats="0" applyAlignmentFormats="0" applyWidthHeightFormats="0">
  <queryTableRefresh nextId="27">
    <queryTableFields count="26">
      <queryTableField id="1" name="Country" tableColumnId="1"/>
      <queryTableField id="2" name="GDP per capita (USD)" tableColumnId="2"/>
      <queryTableField id="3" name="  Dwellings without basic facilities" tableColumnId="3"/>
      <queryTableField id="4" name="  Housing expenditure" tableColumnId="4"/>
      <queryTableField id="5" name="  Rooms per person" tableColumnId="5"/>
      <queryTableField id="6" name="  Household net adjusted disposable income" tableColumnId="6"/>
      <queryTableField id="7" name="  Household net wealth" tableColumnId="7"/>
      <queryTableField id="8" name="  Labour market insecurity" tableColumnId="8"/>
      <queryTableField id="9" name="  Employment rate" tableColumnId="9"/>
      <queryTableField id="10" name="  Long-term unemployment rate" tableColumnId="10"/>
      <queryTableField id="11" name="  Personal earnings" tableColumnId="11"/>
      <queryTableField id="12" name="  Quality of support network" tableColumnId="12"/>
      <queryTableField id="13" name="  Educational attainment" tableColumnId="13"/>
      <queryTableField id="14" name="  Student skills" tableColumnId="14"/>
      <queryTableField id="15" name="  Years in education" tableColumnId="15"/>
      <queryTableField id="16" name="  Air pollution" tableColumnId="16"/>
      <queryTableField id="17" name="  Water quality" tableColumnId="17"/>
      <queryTableField id="18" name="  Stakeholder engagement for developing regulations" tableColumnId="18"/>
      <queryTableField id="19" name="  Voter turnout" tableColumnId="19"/>
      <queryTableField id="20" name="  Life expectancy" tableColumnId="20"/>
      <queryTableField id="21" name="  Self-reported health" tableColumnId="21"/>
      <queryTableField id="22" name="  Feeling safe walking alone at night" tableColumnId="22"/>
      <queryTableField id="23" name="  Homicide rate" tableColumnId="23"/>
      <queryTableField id="24" name="  Employees working very long hours" tableColumnId="24"/>
      <queryTableField id="25" name="  Time devoted to leisure and personal care" tableColumnId="25"/>
      <queryTableField id="26" name="  Life satisfact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9A8BE-2F18-4988-9B74-408337717188}" name="better_life_index_2024" displayName="better_life_index_2024" ref="A1:Z39" tableType="queryTable" totalsRowShown="0">
  <autoFilter ref="A1:Z39" xr:uid="{A619A8BE-2F18-4988-9B74-408337717188}"/>
  <tableColumns count="26">
    <tableColumn id="1" xr3:uid="{1331DF18-A4BA-403E-85BE-C0916325E8F0}" uniqueName="1" name="Country" queryTableFieldId="1" dataDxfId="34"/>
    <tableColumn id="2" xr3:uid="{46AD8FD4-28E4-4C79-A315-C384B87C7F6A}" uniqueName="2" name="GDP per capita (USD)" queryTableFieldId="2"/>
    <tableColumn id="3" xr3:uid="{85407ABE-3ED9-4BFE-93C6-9C2BBF1BE610}" uniqueName="3" name="  Dwellings without basic facilities" queryTableFieldId="3" dataDxfId="33"/>
    <tableColumn id="4" xr3:uid="{DEE8A53E-F89A-48A0-B913-EDE447C94010}" uniqueName="4" name="  Housing expenditure" queryTableFieldId="4" dataDxfId="32"/>
    <tableColumn id="5" xr3:uid="{DAC3A24C-D747-4AA7-9AC0-E10849782D78}" uniqueName="5" name="  Rooms per person" queryTableFieldId="5" dataDxfId="31"/>
    <tableColumn id="6" xr3:uid="{02153A38-170E-4EF7-B23D-18811F03D109}" uniqueName="6" name="  Household net adjusted disposable income" queryTableFieldId="6"/>
    <tableColumn id="7" xr3:uid="{4599EA9C-F196-493E-B4D7-F437FA0A9546}" uniqueName="7" name="  Household net wealth" queryTableFieldId="7"/>
    <tableColumn id="8" xr3:uid="{72C363F1-FCD2-455E-A8FB-82A781553040}" uniqueName="8" name="  Labour market insecurity" queryTableFieldId="8" dataDxfId="30"/>
    <tableColumn id="9" xr3:uid="{DD77C767-F56A-414D-8C5B-71D11D947E84}" uniqueName="9" name="  Employment rate" queryTableFieldId="9"/>
    <tableColumn id="10" xr3:uid="{58BFEB83-0B60-4291-9C53-F5165439F3A2}" uniqueName="10" name="  Long-term unemployment rate" queryTableFieldId="10" dataDxfId="29"/>
    <tableColumn id="11" xr3:uid="{47D98615-91D8-4420-9DF9-09D0B4436BD4}" uniqueName="11" name="  Personal earnings" queryTableFieldId="11"/>
    <tableColumn id="12" xr3:uid="{DA2B8B88-0427-4773-B1EF-6FE506CC5349}" uniqueName="12" name="  Quality of support network" queryTableFieldId="12"/>
    <tableColumn id="13" xr3:uid="{91682FED-2983-4DE3-AD8F-531C78CFD527}" uniqueName="13" name="  Educational attainment" queryTableFieldId="13"/>
    <tableColumn id="14" xr3:uid="{FF3E8E9F-3DBA-45C7-91B5-C8E32F60555B}" uniqueName="14" name="  Student skills" queryTableFieldId="14"/>
    <tableColumn id="15" xr3:uid="{6CD7DE5C-720B-4FC4-9920-BEBF05D65EDB}" uniqueName="15" name="  Years in education" queryTableFieldId="15"/>
    <tableColumn id="16" xr3:uid="{9094B064-41D3-487A-A2E9-8C6812DA3B8E}" uniqueName="16" name="  Air pollution" queryTableFieldId="16" dataDxfId="28"/>
    <tableColumn id="17" xr3:uid="{70C274FD-6841-4D89-A4F0-B743A1809C5F}" uniqueName="17" name="  Water quality" queryTableFieldId="17"/>
    <tableColumn id="18" xr3:uid="{B32CA9C9-8CCC-472E-85BB-520641503BB0}" uniqueName="18" name="  Stakeholder engagement for developing regulations" queryTableFieldId="18" dataDxfId="27"/>
    <tableColumn id="19" xr3:uid="{19C9FC99-D9E7-4620-B47E-EAC3509BC68F}" uniqueName="19" name="  Voter turnout" queryTableFieldId="19"/>
    <tableColumn id="20" xr3:uid="{B021955E-74CA-4127-AA30-9825E280A651}" uniqueName="20" name="  Life expectancy" queryTableFieldId="20" dataDxfId="26"/>
    <tableColumn id="21" xr3:uid="{83CFC343-999B-4039-85C8-1CD98CE1CDAE}" uniqueName="21" name="  Self-reported health" queryTableFieldId="21"/>
    <tableColumn id="22" xr3:uid="{D705E1C0-4745-46C4-95E9-977EE2F4CA88}" uniqueName="22" name="  Feeling safe walking alone at night" queryTableFieldId="22"/>
    <tableColumn id="23" xr3:uid="{DEDDC73A-1E96-416D-823A-59A8EE04F0A3}" uniqueName="23" name="  Homicide rate" queryTableFieldId="23" dataDxfId="25"/>
    <tableColumn id="24" xr3:uid="{BCD26029-8494-40E7-B5D4-177BC12EBA76}" uniqueName="24" name="  Employees working very long hours" queryTableFieldId="24" dataDxfId="24"/>
    <tableColumn id="25" xr3:uid="{A7648DF1-458D-4341-950E-720184ADB0EF}" uniqueName="25" name="  Time devoted to leisure and personal care" queryTableFieldId="25" dataDxfId="23"/>
    <tableColumn id="26" xr3:uid="{A0E61BAB-711A-448E-A704-1DFD82CFABAF}" uniqueName="26" name="  Life satisfaction" queryTableFieldId="26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ED990-E0AD-4049-9D5C-9EDAE3A0398E}" name="Таблица2" displayName="Таблица2" ref="A1:G39" totalsRowShown="0" headerRowDxfId="11" headerRowBorderDxfId="20" tableBorderDxfId="21" totalsRowBorderDxfId="19">
  <autoFilter ref="A1:G39" xr:uid="{97CED990-E0AD-4049-9D5C-9EDAE3A0398E}"/>
  <tableColumns count="7">
    <tableColumn id="1" xr3:uid="{804D964C-0E40-443F-8354-7E3A6A793E82}" name="Country" dataDxfId="18"/>
    <tableColumn id="4" xr3:uid="{9D470B8E-97B5-4D07-A7CD-6F42A4DAC2B3}" name="GDP per capita (USD)" dataDxfId="16"/>
    <tableColumn id="7" xr3:uid="{5CD4D351-DDBF-41AD-9297-7129B9BA1A82}" name="  Life expectancy" dataDxfId="15"/>
    <tableColumn id="5" xr3:uid="{FF20AAFF-E8B0-4F26-84F8-B4D77D4CCDC0}" name="  Employment rate" dataDxfId="14"/>
    <tableColumn id="6" xr3:uid="{38326172-D301-4B95-B35D-E9E32D23F670}" name="  Quality of support network" dataDxfId="13"/>
    <tableColumn id="2" xr3:uid="{76A806F8-1375-4D41-B135-FF8715BCA6CE}" name="  Feeling safe walking alone at night" dataDxfId="17"/>
    <tableColumn id="3" xr3:uid="{B8AE9B68-9413-4263-A7EF-480763C86177}" name="  Life satisfaction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368B3-40A2-41F3-AD78-5390C5A50577}" name="Таблица24" displayName="Таблица24" ref="I1:O39" totalsRowShown="0" headerRowDxfId="10" headerRowBorderDxfId="8" tableBorderDxfId="9" totalsRowBorderDxfId="7">
  <autoFilter ref="I1:O39" xr:uid="{A73368B3-40A2-41F3-AD78-5390C5A50577}"/>
  <tableColumns count="7">
    <tableColumn id="1" xr3:uid="{F84D075D-1627-48E2-B085-6D6223B23906}" name="Country" dataDxfId="6"/>
    <tableColumn id="4" xr3:uid="{EE361EFE-3745-457B-94FC-37817BAAD3A4}" name="GDP per capita (USD)" dataDxfId="5">
      <calculatedColumnFormula>Таблица2[[#This Row],[GDP per capita (USD)]] - B$41</calculatedColumnFormula>
    </tableColumn>
    <tableColumn id="7" xr3:uid="{44B4450D-79F1-4A24-8293-0A9708E8EAD1}" name="  Life expectancy" dataDxfId="4">
      <calculatedColumnFormula>Таблица2[[#This Row],[  Life expectancy]] - C$41</calculatedColumnFormula>
    </tableColumn>
    <tableColumn id="5" xr3:uid="{907DBC00-C6A0-4F11-8104-73595AE3DCB5}" name="  Employment rate" dataDxfId="3">
      <calculatedColumnFormula>Таблица2[[#This Row],[  Employment rate]] - D$41</calculatedColumnFormula>
    </tableColumn>
    <tableColumn id="6" xr3:uid="{061356B4-4BCF-450F-8EC6-B5746A71D64A}" name="  Quality of support network" dataDxfId="2">
      <calculatedColumnFormula>Таблица2[[#This Row],[  Quality of support network]] - E$41</calculatedColumnFormula>
    </tableColumn>
    <tableColumn id="2" xr3:uid="{8EED54A0-8700-4ADB-8469-2223CD04519C}" name="  Feeling safe walking alone at night" dataDxfId="1">
      <calculatedColumnFormula>Таблица2[[#This Row],[  Feeling safe walking alone at night]] - F$41</calculatedColumnFormula>
    </tableColumn>
    <tableColumn id="3" xr3:uid="{736031C8-E630-4EA1-8C2A-716F2BBABEE6}" name="  Life satisfaction" dataDxfId="0">
      <calculatedColumnFormula>Таблица2[[#This Row],[  Life satisfaction]] - G$41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0570-D78C-4E24-8446-689335506F1A}">
  <dimension ref="A1:Z39"/>
  <sheetViews>
    <sheetView topLeftCell="M4" workbookViewId="0">
      <selection activeCell="T1" sqref="T1:T39"/>
    </sheetView>
  </sheetViews>
  <sheetFormatPr defaultRowHeight="15" x14ac:dyDescent="0.25"/>
  <cols>
    <col min="1" max="1" width="15.42578125" bestFit="1" customWidth="1"/>
    <col min="2" max="2" width="22.140625" bestFit="1" customWidth="1"/>
    <col min="3" max="3" width="33.85546875" bestFit="1" customWidth="1"/>
    <col min="4" max="4" width="23" bestFit="1" customWidth="1"/>
    <col min="5" max="5" width="20.42578125" bestFit="1" customWidth="1"/>
    <col min="6" max="6" width="43.28515625" bestFit="1" customWidth="1"/>
    <col min="7" max="7" width="24.140625" bestFit="1" customWidth="1"/>
    <col min="8" max="8" width="26.42578125" bestFit="1" customWidth="1"/>
    <col min="9" max="9" width="19.7109375" bestFit="1" customWidth="1"/>
    <col min="10" max="10" width="32.140625" bestFit="1" customWidth="1"/>
    <col min="11" max="11" width="20.140625" bestFit="1" customWidth="1"/>
    <col min="12" max="12" width="28.5703125" bestFit="1" customWidth="1"/>
    <col min="13" max="13" width="25.140625" bestFit="1" customWidth="1"/>
    <col min="14" max="14" width="16.140625" bestFit="1" customWidth="1"/>
    <col min="15" max="15" width="20.7109375" bestFit="1" customWidth="1"/>
    <col min="16" max="16" width="15.42578125" bestFit="1" customWidth="1"/>
    <col min="17" max="17" width="16.42578125" bestFit="1" customWidth="1"/>
    <col min="18" max="18" width="51.5703125" bestFit="1" customWidth="1"/>
    <col min="19" max="19" width="16.42578125" bestFit="1" customWidth="1"/>
    <col min="20" max="20" width="18" bestFit="1" customWidth="1"/>
    <col min="21" max="21" width="22.5703125" bestFit="1" customWidth="1"/>
    <col min="22" max="22" width="35.42578125" bestFit="1" customWidth="1"/>
    <col min="23" max="23" width="16.7109375" bestFit="1" customWidth="1"/>
    <col min="24" max="24" width="36.28515625" bestFit="1" customWidth="1"/>
    <col min="25" max="25" width="42.28515625" bestFit="1" customWidth="1"/>
    <col min="26" max="26" width="18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>
        <v>66589</v>
      </c>
      <c r="C2" s="1" t="s">
        <v>27</v>
      </c>
      <c r="D2" s="1" t="s">
        <v>28</v>
      </c>
      <c r="E2" s="1" t="s">
        <v>27</v>
      </c>
      <c r="F2">
        <v>37433</v>
      </c>
      <c r="G2">
        <v>528768</v>
      </c>
      <c r="H2" s="1" t="s">
        <v>29</v>
      </c>
      <c r="I2">
        <v>73</v>
      </c>
      <c r="J2" s="1" t="s">
        <v>30</v>
      </c>
      <c r="K2">
        <v>55206</v>
      </c>
      <c r="L2">
        <v>93</v>
      </c>
      <c r="M2">
        <v>84</v>
      </c>
      <c r="N2">
        <v>499</v>
      </c>
      <c r="O2">
        <v>20</v>
      </c>
      <c r="P2" s="1" t="s">
        <v>31</v>
      </c>
      <c r="Q2">
        <v>92</v>
      </c>
      <c r="R2" s="1" t="s">
        <v>32</v>
      </c>
      <c r="S2">
        <v>92</v>
      </c>
      <c r="T2" s="1" t="s">
        <v>33</v>
      </c>
      <c r="U2">
        <v>85</v>
      </c>
      <c r="V2">
        <v>67</v>
      </c>
      <c r="W2" s="1" t="s">
        <v>34</v>
      </c>
      <c r="X2" s="1" t="s">
        <v>35</v>
      </c>
      <c r="Y2" s="1" t="s">
        <v>36</v>
      </c>
      <c r="Z2" s="1" t="s">
        <v>37</v>
      </c>
    </row>
    <row r="3" spans="1:26" x14ac:dyDescent="0.25">
      <c r="A3" s="1" t="s">
        <v>38</v>
      </c>
      <c r="B3">
        <v>59225</v>
      </c>
      <c r="C3" s="1" t="s">
        <v>39</v>
      </c>
      <c r="D3" s="1" t="s">
        <v>40</v>
      </c>
      <c r="E3" s="1" t="s">
        <v>41</v>
      </c>
      <c r="F3">
        <v>37001</v>
      </c>
      <c r="G3">
        <v>309637</v>
      </c>
      <c r="H3" s="1" t="s">
        <v>42</v>
      </c>
      <c r="I3">
        <v>72</v>
      </c>
      <c r="J3" s="1" t="s">
        <v>43</v>
      </c>
      <c r="K3">
        <v>53132</v>
      </c>
      <c r="L3">
        <v>92</v>
      </c>
      <c r="M3">
        <v>86</v>
      </c>
      <c r="N3">
        <v>491</v>
      </c>
      <c r="O3">
        <v>17</v>
      </c>
      <c r="P3" s="1" t="s">
        <v>44</v>
      </c>
      <c r="Q3">
        <v>92</v>
      </c>
      <c r="R3" s="1" t="s">
        <v>43</v>
      </c>
      <c r="S3">
        <v>76</v>
      </c>
      <c r="T3" s="1" t="s">
        <v>45</v>
      </c>
      <c r="U3">
        <v>71</v>
      </c>
      <c r="V3">
        <v>86</v>
      </c>
      <c r="W3" s="1" t="s">
        <v>46</v>
      </c>
      <c r="X3" s="1" t="s">
        <v>47</v>
      </c>
      <c r="Y3" s="1" t="s">
        <v>48</v>
      </c>
      <c r="Z3" s="1" t="s">
        <v>49</v>
      </c>
    </row>
    <row r="4" spans="1:26" x14ac:dyDescent="0.25">
      <c r="A4" s="1" t="s">
        <v>50</v>
      </c>
      <c r="B4">
        <v>55536</v>
      </c>
      <c r="C4" s="1" t="s">
        <v>51</v>
      </c>
      <c r="D4" s="1" t="s">
        <v>52</v>
      </c>
      <c r="E4" s="1" t="s">
        <v>53</v>
      </c>
      <c r="F4">
        <v>34884</v>
      </c>
      <c r="G4">
        <v>447607</v>
      </c>
      <c r="H4" s="1" t="s">
        <v>54</v>
      </c>
      <c r="I4">
        <v>65</v>
      </c>
      <c r="J4" s="1" t="s">
        <v>42</v>
      </c>
      <c r="K4">
        <v>54327</v>
      </c>
      <c r="L4">
        <v>90</v>
      </c>
      <c r="M4">
        <v>80</v>
      </c>
      <c r="N4">
        <v>500</v>
      </c>
      <c r="O4">
        <v>19</v>
      </c>
      <c r="P4" s="1" t="s">
        <v>55</v>
      </c>
      <c r="Q4">
        <v>79</v>
      </c>
      <c r="R4" s="1" t="s">
        <v>56</v>
      </c>
      <c r="S4">
        <v>88</v>
      </c>
      <c r="T4" s="1" t="s">
        <v>57</v>
      </c>
      <c r="U4">
        <v>74</v>
      </c>
      <c r="V4">
        <v>56</v>
      </c>
      <c r="W4" s="1" t="s">
        <v>58</v>
      </c>
      <c r="X4" s="1" t="s">
        <v>59</v>
      </c>
      <c r="Y4" s="1" t="s">
        <v>60</v>
      </c>
      <c r="Z4" s="1" t="s">
        <v>61</v>
      </c>
    </row>
    <row r="5" spans="1:26" x14ac:dyDescent="0.25">
      <c r="A5" s="1" t="s">
        <v>62</v>
      </c>
      <c r="B5">
        <v>54866</v>
      </c>
      <c r="C5" s="1" t="s">
        <v>63</v>
      </c>
      <c r="D5" s="1" t="s">
        <v>64</v>
      </c>
      <c r="E5" s="1" t="s">
        <v>65</v>
      </c>
      <c r="F5">
        <v>34421</v>
      </c>
      <c r="G5">
        <v>478240</v>
      </c>
      <c r="H5" s="1" t="s">
        <v>66</v>
      </c>
      <c r="I5">
        <v>70</v>
      </c>
      <c r="J5" s="1" t="s">
        <v>46</v>
      </c>
      <c r="K5">
        <v>55342</v>
      </c>
      <c r="L5">
        <v>93</v>
      </c>
      <c r="M5">
        <v>92</v>
      </c>
      <c r="N5">
        <v>517</v>
      </c>
      <c r="O5">
        <v>17</v>
      </c>
      <c r="P5" s="1" t="s">
        <v>37</v>
      </c>
      <c r="Q5">
        <v>90</v>
      </c>
      <c r="R5" s="1" t="s">
        <v>67</v>
      </c>
      <c r="S5">
        <v>68</v>
      </c>
      <c r="T5" s="1" t="s">
        <v>57</v>
      </c>
      <c r="U5">
        <v>89</v>
      </c>
      <c r="V5">
        <v>78</v>
      </c>
      <c r="W5" s="1" t="s">
        <v>68</v>
      </c>
      <c r="X5" s="1" t="s">
        <v>69</v>
      </c>
      <c r="Y5" s="1" t="s">
        <v>70</v>
      </c>
      <c r="Z5" s="1" t="s">
        <v>71</v>
      </c>
    </row>
    <row r="6" spans="1:26" x14ac:dyDescent="0.25">
      <c r="A6" s="1" t="s">
        <v>72</v>
      </c>
      <c r="B6">
        <v>16616</v>
      </c>
      <c r="C6" s="1" t="s">
        <v>73</v>
      </c>
      <c r="D6" s="1" t="s">
        <v>74</v>
      </c>
      <c r="E6" s="1" t="s">
        <v>75</v>
      </c>
      <c r="G6">
        <v>135787</v>
      </c>
      <c r="H6" s="1" t="s">
        <v>71</v>
      </c>
      <c r="I6">
        <v>56</v>
      </c>
      <c r="J6" s="1" t="s">
        <v>27</v>
      </c>
      <c r="K6">
        <v>26729</v>
      </c>
      <c r="L6">
        <v>88</v>
      </c>
      <c r="M6">
        <v>67</v>
      </c>
      <c r="N6">
        <v>438</v>
      </c>
      <c r="O6">
        <v>17</v>
      </c>
      <c r="P6" s="1" t="s">
        <v>76</v>
      </c>
      <c r="Q6">
        <v>62</v>
      </c>
      <c r="R6" s="1" t="s">
        <v>43</v>
      </c>
      <c r="S6">
        <v>47</v>
      </c>
      <c r="T6" s="1" t="s">
        <v>77</v>
      </c>
      <c r="U6">
        <v>60</v>
      </c>
      <c r="V6">
        <v>41</v>
      </c>
      <c r="W6" s="1" t="s">
        <v>54</v>
      </c>
      <c r="X6" s="1" t="s">
        <v>78</v>
      </c>
      <c r="Y6" s="1" t="s">
        <v>27</v>
      </c>
      <c r="Z6" s="1" t="s">
        <v>79</v>
      </c>
    </row>
    <row r="7" spans="1:26" x14ac:dyDescent="0.25">
      <c r="A7" s="1" t="s">
        <v>80</v>
      </c>
      <c r="B7">
        <v>7327</v>
      </c>
      <c r="C7" s="1" t="s">
        <v>81</v>
      </c>
      <c r="D7" s="1" t="s">
        <v>27</v>
      </c>
      <c r="E7" s="1" t="s">
        <v>30</v>
      </c>
      <c r="H7" s="1" t="s">
        <v>27</v>
      </c>
      <c r="I7">
        <v>58</v>
      </c>
      <c r="J7" s="1" t="s">
        <v>58</v>
      </c>
      <c r="L7">
        <v>80</v>
      </c>
      <c r="M7">
        <v>59</v>
      </c>
      <c r="N7">
        <v>406</v>
      </c>
      <c r="O7">
        <v>14</v>
      </c>
      <c r="P7" s="1" t="s">
        <v>82</v>
      </c>
      <c r="Q7">
        <v>82</v>
      </c>
      <c r="R7" s="1" t="s">
        <v>83</v>
      </c>
      <c r="S7">
        <v>53</v>
      </c>
      <c r="T7" s="1" t="s">
        <v>84</v>
      </c>
      <c r="U7">
        <v>80</v>
      </c>
      <c r="V7">
        <v>50</v>
      </c>
      <c r="W7" s="1" t="s">
        <v>85</v>
      </c>
      <c r="X7" s="1" t="s">
        <v>86</v>
      </c>
      <c r="Y7" s="1" t="s">
        <v>27</v>
      </c>
      <c r="Z7" s="1" t="s">
        <v>87</v>
      </c>
    </row>
    <row r="8" spans="1:26" x14ac:dyDescent="0.25">
      <c r="A8" s="1" t="s">
        <v>88</v>
      </c>
      <c r="B8">
        <v>18031</v>
      </c>
      <c r="C8" s="1" t="s">
        <v>42</v>
      </c>
      <c r="D8" s="1" t="s">
        <v>89</v>
      </c>
      <c r="E8" s="1" t="s">
        <v>68</v>
      </c>
      <c r="F8">
        <v>16517</v>
      </c>
      <c r="H8" s="1" t="s">
        <v>27</v>
      </c>
      <c r="I8">
        <v>55</v>
      </c>
      <c r="J8" s="1" t="s">
        <v>90</v>
      </c>
      <c r="L8">
        <v>82</v>
      </c>
      <c r="M8">
        <v>43</v>
      </c>
      <c r="N8">
        <v>415</v>
      </c>
      <c r="P8" s="1" t="s">
        <v>91</v>
      </c>
      <c r="Q8">
        <v>87</v>
      </c>
      <c r="R8" s="1" t="s">
        <v>92</v>
      </c>
      <c r="S8">
        <v>66</v>
      </c>
      <c r="T8" s="1" t="s">
        <v>93</v>
      </c>
      <c r="U8">
        <v>73</v>
      </c>
      <c r="V8">
        <v>47</v>
      </c>
      <c r="W8" s="1" t="s">
        <v>94</v>
      </c>
      <c r="X8" s="1" t="s">
        <v>95</v>
      </c>
      <c r="Y8" s="1" t="s">
        <v>27</v>
      </c>
      <c r="Z8" s="1" t="s">
        <v>96</v>
      </c>
    </row>
    <row r="9" spans="1:26" x14ac:dyDescent="0.25">
      <c r="A9" s="1" t="s">
        <v>97</v>
      </c>
      <c r="B9">
        <v>29801</v>
      </c>
      <c r="C9" s="1" t="s">
        <v>46</v>
      </c>
      <c r="D9" s="1" t="s">
        <v>76</v>
      </c>
      <c r="E9" s="1" t="s">
        <v>90</v>
      </c>
      <c r="F9">
        <v>26664</v>
      </c>
      <c r="H9" s="1" t="s">
        <v>42</v>
      </c>
      <c r="I9">
        <v>74</v>
      </c>
      <c r="J9" s="1" t="s">
        <v>98</v>
      </c>
      <c r="K9">
        <v>29885</v>
      </c>
      <c r="L9">
        <v>96</v>
      </c>
      <c r="M9">
        <v>94</v>
      </c>
      <c r="N9">
        <v>495</v>
      </c>
      <c r="O9">
        <v>18</v>
      </c>
      <c r="P9" s="1" t="s">
        <v>89</v>
      </c>
      <c r="Q9">
        <v>89</v>
      </c>
      <c r="R9" s="1" t="s">
        <v>41</v>
      </c>
      <c r="S9">
        <v>62</v>
      </c>
      <c r="T9" s="1" t="s">
        <v>99</v>
      </c>
      <c r="U9">
        <v>62</v>
      </c>
      <c r="V9">
        <v>77</v>
      </c>
      <c r="W9" s="1" t="s">
        <v>51</v>
      </c>
      <c r="X9" s="1" t="s">
        <v>100</v>
      </c>
      <c r="Y9" s="1" t="s">
        <v>27</v>
      </c>
      <c r="Z9" s="1" t="s">
        <v>101</v>
      </c>
    </row>
    <row r="10" spans="1:26" x14ac:dyDescent="0.25">
      <c r="A10" s="1" t="s">
        <v>102</v>
      </c>
      <c r="B10">
        <v>68898</v>
      </c>
      <c r="C10" s="1" t="s">
        <v>46</v>
      </c>
      <c r="D10" s="1" t="s">
        <v>103</v>
      </c>
      <c r="E10" s="1" t="s">
        <v>75</v>
      </c>
      <c r="F10">
        <v>33774</v>
      </c>
      <c r="G10">
        <v>149864</v>
      </c>
      <c r="H10" s="1" t="s">
        <v>100</v>
      </c>
      <c r="I10">
        <v>74</v>
      </c>
      <c r="J10" s="1" t="s">
        <v>34</v>
      </c>
      <c r="K10">
        <v>58430</v>
      </c>
      <c r="L10">
        <v>95</v>
      </c>
      <c r="M10">
        <v>82</v>
      </c>
      <c r="N10">
        <v>501</v>
      </c>
      <c r="O10">
        <v>19</v>
      </c>
      <c r="P10" s="1" t="s">
        <v>94</v>
      </c>
      <c r="Q10">
        <v>93</v>
      </c>
      <c r="R10" s="1" t="s">
        <v>56</v>
      </c>
      <c r="S10">
        <v>85</v>
      </c>
      <c r="T10" s="1" t="s">
        <v>104</v>
      </c>
      <c r="U10">
        <v>70</v>
      </c>
      <c r="V10">
        <v>85</v>
      </c>
      <c r="W10" s="1" t="s">
        <v>46</v>
      </c>
      <c r="X10" s="1" t="s">
        <v>58</v>
      </c>
      <c r="Y10" s="1" t="s">
        <v>27</v>
      </c>
      <c r="Z10" s="1" t="s">
        <v>105</v>
      </c>
    </row>
    <row r="11" spans="1:26" x14ac:dyDescent="0.25">
      <c r="A11" s="1" t="s">
        <v>106</v>
      </c>
      <c r="B11">
        <v>31855</v>
      </c>
      <c r="C11" s="1" t="s">
        <v>87</v>
      </c>
      <c r="D11" s="1" t="s">
        <v>89</v>
      </c>
      <c r="E11" s="1" t="s">
        <v>107</v>
      </c>
      <c r="F11">
        <v>23784</v>
      </c>
      <c r="G11">
        <v>188627</v>
      </c>
      <c r="H11" s="1" t="s">
        <v>108</v>
      </c>
      <c r="I11">
        <v>74</v>
      </c>
      <c r="J11" s="1" t="s">
        <v>68</v>
      </c>
      <c r="K11">
        <v>30720</v>
      </c>
      <c r="L11">
        <v>95</v>
      </c>
      <c r="M11">
        <v>91</v>
      </c>
      <c r="N11">
        <v>526</v>
      </c>
      <c r="O11">
        <v>18</v>
      </c>
      <c r="P11" s="1" t="s">
        <v>109</v>
      </c>
      <c r="Q11">
        <v>86</v>
      </c>
      <c r="R11" s="1" t="s">
        <v>32</v>
      </c>
      <c r="S11">
        <v>64</v>
      </c>
      <c r="T11" s="1" t="s">
        <v>110</v>
      </c>
      <c r="U11">
        <v>57</v>
      </c>
      <c r="V11">
        <v>79</v>
      </c>
      <c r="W11" s="1" t="s">
        <v>75</v>
      </c>
      <c r="X11" s="1" t="s">
        <v>111</v>
      </c>
      <c r="Y11" s="1" t="s">
        <v>112</v>
      </c>
      <c r="Z11" s="1" t="s">
        <v>113</v>
      </c>
    </row>
    <row r="12" spans="1:26" x14ac:dyDescent="0.25">
      <c r="A12" s="1" t="s">
        <v>114</v>
      </c>
      <c r="B12">
        <v>55127</v>
      </c>
      <c r="C12" s="1" t="s">
        <v>115</v>
      </c>
      <c r="D12" s="1" t="s">
        <v>85</v>
      </c>
      <c r="E12" s="1" t="s">
        <v>75</v>
      </c>
      <c r="F12">
        <v>33471</v>
      </c>
      <c r="G12">
        <v>230032</v>
      </c>
      <c r="H12" s="1" t="s">
        <v>111</v>
      </c>
      <c r="I12">
        <v>72</v>
      </c>
      <c r="J12" s="1" t="s">
        <v>68</v>
      </c>
      <c r="K12">
        <v>46230</v>
      </c>
      <c r="L12">
        <v>96</v>
      </c>
      <c r="M12">
        <v>91</v>
      </c>
      <c r="N12">
        <v>516</v>
      </c>
      <c r="O12">
        <v>20</v>
      </c>
      <c r="P12" s="1" t="s">
        <v>116</v>
      </c>
      <c r="Q12">
        <v>97</v>
      </c>
      <c r="R12" s="1" t="s">
        <v>111</v>
      </c>
      <c r="S12">
        <v>69</v>
      </c>
      <c r="T12" s="1" t="s">
        <v>57</v>
      </c>
      <c r="U12">
        <v>68</v>
      </c>
      <c r="V12">
        <v>88</v>
      </c>
      <c r="W12" s="1" t="s">
        <v>68</v>
      </c>
      <c r="X12" s="1" t="s">
        <v>117</v>
      </c>
      <c r="Y12" s="1" t="s">
        <v>118</v>
      </c>
      <c r="Z12" s="1" t="s">
        <v>119</v>
      </c>
    </row>
    <row r="13" spans="1:26" x14ac:dyDescent="0.25">
      <c r="A13" s="1" t="s">
        <v>120</v>
      </c>
      <c r="B13">
        <v>47359</v>
      </c>
      <c r="C13" s="1" t="s">
        <v>46</v>
      </c>
      <c r="D13" s="1" t="s">
        <v>121</v>
      </c>
      <c r="E13" s="1" t="s">
        <v>92</v>
      </c>
      <c r="F13">
        <v>34375</v>
      </c>
      <c r="G13">
        <v>298639</v>
      </c>
      <c r="H13" s="1" t="s">
        <v>29</v>
      </c>
      <c r="I13">
        <v>65</v>
      </c>
      <c r="J13" s="1" t="s">
        <v>67</v>
      </c>
      <c r="K13">
        <v>45581</v>
      </c>
      <c r="L13">
        <v>94</v>
      </c>
      <c r="M13">
        <v>81</v>
      </c>
      <c r="N13">
        <v>494</v>
      </c>
      <c r="O13">
        <v>17</v>
      </c>
      <c r="P13" s="1" t="s">
        <v>122</v>
      </c>
      <c r="Q13">
        <v>78</v>
      </c>
      <c r="R13" s="1" t="s">
        <v>53</v>
      </c>
      <c r="S13">
        <v>75</v>
      </c>
      <c r="T13" s="1" t="s">
        <v>123</v>
      </c>
      <c r="U13">
        <v>67</v>
      </c>
      <c r="V13">
        <v>74</v>
      </c>
      <c r="W13" s="1" t="s">
        <v>115</v>
      </c>
      <c r="X13" s="1" t="s">
        <v>78</v>
      </c>
      <c r="Y13" s="1" t="s">
        <v>124</v>
      </c>
      <c r="Z13" s="1" t="s">
        <v>31</v>
      </c>
    </row>
    <row r="14" spans="1:26" x14ac:dyDescent="0.25">
      <c r="A14" s="1" t="s">
        <v>125</v>
      </c>
      <c r="B14">
        <v>54291</v>
      </c>
      <c r="C14" s="1" t="s">
        <v>126</v>
      </c>
      <c r="D14" s="1" t="s">
        <v>52</v>
      </c>
      <c r="E14" s="1" t="s">
        <v>92</v>
      </c>
      <c r="F14">
        <v>38971</v>
      </c>
      <c r="G14">
        <v>304317</v>
      </c>
      <c r="H14" s="1" t="s">
        <v>83</v>
      </c>
      <c r="I14">
        <v>77</v>
      </c>
      <c r="J14" s="1" t="s">
        <v>68</v>
      </c>
      <c r="K14">
        <v>53745</v>
      </c>
      <c r="L14">
        <v>90</v>
      </c>
      <c r="M14">
        <v>86</v>
      </c>
      <c r="N14">
        <v>500</v>
      </c>
      <c r="O14">
        <v>18</v>
      </c>
      <c r="P14" s="1" t="s">
        <v>127</v>
      </c>
      <c r="Q14">
        <v>91</v>
      </c>
      <c r="R14" s="1" t="s">
        <v>92</v>
      </c>
      <c r="S14">
        <v>76</v>
      </c>
      <c r="T14" s="1" t="s">
        <v>128</v>
      </c>
      <c r="U14">
        <v>66</v>
      </c>
      <c r="V14">
        <v>76</v>
      </c>
      <c r="W14" s="1" t="s">
        <v>115</v>
      </c>
      <c r="X14" s="1" t="s">
        <v>129</v>
      </c>
      <c r="Y14" s="1" t="s">
        <v>130</v>
      </c>
      <c r="Z14" s="1" t="s">
        <v>131</v>
      </c>
    </row>
    <row r="15" spans="1:26" x14ac:dyDescent="0.25">
      <c r="A15" s="1" t="s">
        <v>132</v>
      </c>
      <c r="B15">
        <v>23966</v>
      </c>
      <c r="C15" s="1" t="s">
        <v>115</v>
      </c>
      <c r="D15" s="1" t="s">
        <v>133</v>
      </c>
      <c r="E15" s="1" t="s">
        <v>68</v>
      </c>
      <c r="F15">
        <v>20791</v>
      </c>
      <c r="G15">
        <v>148323</v>
      </c>
      <c r="H15" s="1" t="s">
        <v>134</v>
      </c>
      <c r="I15">
        <v>56</v>
      </c>
      <c r="J15" s="1" t="s">
        <v>135</v>
      </c>
      <c r="K15">
        <v>27207</v>
      </c>
      <c r="L15">
        <v>78</v>
      </c>
      <c r="M15">
        <v>76</v>
      </c>
      <c r="N15">
        <v>453</v>
      </c>
      <c r="O15">
        <v>19</v>
      </c>
      <c r="P15" s="1" t="s">
        <v>136</v>
      </c>
      <c r="Q15">
        <v>67</v>
      </c>
      <c r="R15" s="1" t="s">
        <v>92</v>
      </c>
      <c r="S15">
        <v>58</v>
      </c>
      <c r="T15" s="1" t="s">
        <v>137</v>
      </c>
      <c r="U15">
        <v>79</v>
      </c>
      <c r="V15">
        <v>69</v>
      </c>
      <c r="W15" s="1" t="s">
        <v>30</v>
      </c>
      <c r="X15" s="1" t="s">
        <v>100</v>
      </c>
      <c r="Y15" s="1" t="s">
        <v>138</v>
      </c>
      <c r="Z15" s="1" t="s">
        <v>139</v>
      </c>
    </row>
    <row r="16" spans="1:26" x14ac:dyDescent="0.25">
      <c r="A16" s="1" t="s">
        <v>140</v>
      </c>
      <c r="B16">
        <v>23319</v>
      </c>
      <c r="C16" s="1" t="s">
        <v>141</v>
      </c>
      <c r="D16" s="1" t="s">
        <v>142</v>
      </c>
      <c r="E16" s="1" t="s">
        <v>83</v>
      </c>
      <c r="F16">
        <v>21026</v>
      </c>
      <c r="G16">
        <v>150296</v>
      </c>
      <c r="H16" s="1" t="s">
        <v>66</v>
      </c>
      <c r="I16">
        <v>70</v>
      </c>
      <c r="J16" s="1" t="s">
        <v>68</v>
      </c>
      <c r="K16">
        <v>25409</v>
      </c>
      <c r="L16">
        <v>94</v>
      </c>
      <c r="M16">
        <v>86</v>
      </c>
      <c r="N16">
        <v>479</v>
      </c>
      <c r="O16">
        <v>16</v>
      </c>
      <c r="P16" s="1" t="s">
        <v>143</v>
      </c>
      <c r="Q16">
        <v>81</v>
      </c>
      <c r="R16" s="1" t="s">
        <v>68</v>
      </c>
      <c r="S16">
        <v>70</v>
      </c>
      <c r="T16" s="1" t="s">
        <v>144</v>
      </c>
      <c r="U16">
        <v>58</v>
      </c>
      <c r="V16">
        <v>74</v>
      </c>
      <c r="W16" s="1" t="s">
        <v>34</v>
      </c>
      <c r="X16" s="1" t="s">
        <v>90</v>
      </c>
      <c r="Y16" s="1" t="s">
        <v>145</v>
      </c>
      <c r="Z16" s="1" t="s">
        <v>146</v>
      </c>
    </row>
    <row r="17" spans="1:26" x14ac:dyDescent="0.25">
      <c r="A17" s="1" t="s">
        <v>147</v>
      </c>
      <c r="B17">
        <v>84594</v>
      </c>
      <c r="C17" s="1" t="s">
        <v>148</v>
      </c>
      <c r="D17" s="1" t="s">
        <v>27</v>
      </c>
      <c r="E17" s="1" t="s">
        <v>41</v>
      </c>
      <c r="H17" s="1" t="s">
        <v>30</v>
      </c>
      <c r="I17">
        <v>78</v>
      </c>
      <c r="J17" s="1" t="s">
        <v>51</v>
      </c>
      <c r="K17">
        <v>67488</v>
      </c>
      <c r="L17">
        <v>98</v>
      </c>
      <c r="M17">
        <v>76</v>
      </c>
      <c r="N17">
        <v>481</v>
      </c>
      <c r="O17">
        <v>19</v>
      </c>
      <c r="P17" s="1" t="s">
        <v>149</v>
      </c>
      <c r="Q17">
        <v>97</v>
      </c>
      <c r="R17" s="1" t="s">
        <v>53</v>
      </c>
      <c r="S17">
        <v>81</v>
      </c>
      <c r="T17" s="1" t="s">
        <v>150</v>
      </c>
      <c r="U17">
        <v>77</v>
      </c>
      <c r="V17">
        <v>85</v>
      </c>
      <c r="W17" s="1" t="s">
        <v>151</v>
      </c>
      <c r="X17" s="1" t="s">
        <v>152</v>
      </c>
      <c r="Y17" s="1" t="s">
        <v>27</v>
      </c>
      <c r="Z17" s="1" t="s">
        <v>153</v>
      </c>
    </row>
    <row r="18" spans="1:26" x14ac:dyDescent="0.25">
      <c r="A18" s="1" t="s">
        <v>154</v>
      </c>
      <c r="B18">
        <v>106059</v>
      </c>
      <c r="C18" s="1" t="s">
        <v>63</v>
      </c>
      <c r="D18" s="1" t="s">
        <v>155</v>
      </c>
      <c r="E18" s="1" t="s">
        <v>53</v>
      </c>
      <c r="F18">
        <v>29488</v>
      </c>
      <c r="G18">
        <v>370341</v>
      </c>
      <c r="H18" s="1" t="s">
        <v>65</v>
      </c>
      <c r="I18">
        <v>68</v>
      </c>
      <c r="J18" s="1" t="s">
        <v>68</v>
      </c>
      <c r="K18">
        <v>49474</v>
      </c>
      <c r="L18">
        <v>96</v>
      </c>
      <c r="M18">
        <v>85</v>
      </c>
      <c r="N18">
        <v>505</v>
      </c>
      <c r="O18">
        <v>18</v>
      </c>
      <c r="P18" s="1" t="s">
        <v>156</v>
      </c>
      <c r="Q18">
        <v>80</v>
      </c>
      <c r="R18" s="1" t="s">
        <v>43</v>
      </c>
      <c r="S18">
        <v>63</v>
      </c>
      <c r="T18" s="1" t="s">
        <v>157</v>
      </c>
      <c r="U18">
        <v>84</v>
      </c>
      <c r="V18">
        <v>76</v>
      </c>
      <c r="W18" s="1" t="s">
        <v>46</v>
      </c>
      <c r="X18" s="1" t="s">
        <v>158</v>
      </c>
      <c r="Y18" s="1" t="s">
        <v>159</v>
      </c>
      <c r="Z18" s="1" t="s">
        <v>71</v>
      </c>
    </row>
    <row r="19" spans="1:26" x14ac:dyDescent="0.25">
      <c r="A19" s="1" t="s">
        <v>160</v>
      </c>
      <c r="B19">
        <v>53372</v>
      </c>
      <c r="C19" s="1" t="s">
        <v>27</v>
      </c>
      <c r="D19" s="1" t="s">
        <v>27</v>
      </c>
      <c r="E19" s="1" t="s">
        <v>68</v>
      </c>
      <c r="H19" s="1" t="s">
        <v>161</v>
      </c>
      <c r="I19">
        <v>67</v>
      </c>
      <c r="J19" s="1" t="s">
        <v>63</v>
      </c>
      <c r="K19">
        <v>39322</v>
      </c>
      <c r="L19">
        <v>95</v>
      </c>
      <c r="M19">
        <v>88</v>
      </c>
      <c r="N19">
        <v>465</v>
      </c>
      <c r="O19">
        <v>16</v>
      </c>
      <c r="P19" s="1" t="s">
        <v>162</v>
      </c>
      <c r="Q19">
        <v>77</v>
      </c>
      <c r="R19" s="1" t="s">
        <v>163</v>
      </c>
      <c r="S19">
        <v>67</v>
      </c>
      <c r="T19" s="1" t="s">
        <v>123</v>
      </c>
      <c r="U19">
        <v>74</v>
      </c>
      <c r="V19">
        <v>80</v>
      </c>
      <c r="W19" s="1" t="s">
        <v>90</v>
      </c>
      <c r="X19" s="1" t="s">
        <v>164</v>
      </c>
      <c r="Y19" s="1" t="s">
        <v>27</v>
      </c>
      <c r="Z19" s="1" t="s">
        <v>49</v>
      </c>
    </row>
    <row r="20" spans="1:26" x14ac:dyDescent="0.25">
      <c r="A20" s="1" t="s">
        <v>165</v>
      </c>
      <c r="B20">
        <v>39580</v>
      </c>
      <c r="C20" s="1" t="s">
        <v>98</v>
      </c>
      <c r="D20" s="1" t="s">
        <v>166</v>
      </c>
      <c r="E20" s="1" t="s">
        <v>83</v>
      </c>
      <c r="F20">
        <v>29431</v>
      </c>
      <c r="G20">
        <v>295020</v>
      </c>
      <c r="H20" s="1" t="s">
        <v>167</v>
      </c>
      <c r="I20">
        <v>58</v>
      </c>
      <c r="J20" s="1" t="s">
        <v>168</v>
      </c>
      <c r="K20">
        <v>37769</v>
      </c>
      <c r="L20">
        <v>89</v>
      </c>
      <c r="M20">
        <v>63</v>
      </c>
      <c r="N20">
        <v>477</v>
      </c>
      <c r="O20">
        <v>17</v>
      </c>
      <c r="P20" s="1" t="s">
        <v>169</v>
      </c>
      <c r="Q20">
        <v>77</v>
      </c>
      <c r="R20" s="1" t="s">
        <v>163</v>
      </c>
      <c r="S20">
        <v>73</v>
      </c>
      <c r="T20" s="1" t="s">
        <v>170</v>
      </c>
      <c r="U20">
        <v>73</v>
      </c>
      <c r="V20">
        <v>73</v>
      </c>
      <c r="W20" s="1" t="s">
        <v>46</v>
      </c>
      <c r="X20" s="1" t="s">
        <v>69</v>
      </c>
      <c r="Y20" s="1" t="s">
        <v>171</v>
      </c>
      <c r="Z20" s="1" t="s">
        <v>113</v>
      </c>
    </row>
    <row r="21" spans="1:26" x14ac:dyDescent="0.25">
      <c r="A21" s="1" t="s">
        <v>172</v>
      </c>
      <c r="B21">
        <v>33138</v>
      </c>
      <c r="C21" s="1" t="s">
        <v>149</v>
      </c>
      <c r="D21" s="1" t="s">
        <v>133</v>
      </c>
      <c r="E21" s="1" t="s">
        <v>75</v>
      </c>
      <c r="F21">
        <v>28872</v>
      </c>
      <c r="G21">
        <v>294735</v>
      </c>
      <c r="H21" s="1" t="s">
        <v>32</v>
      </c>
      <c r="I21">
        <v>77</v>
      </c>
      <c r="J21" s="1" t="s">
        <v>39</v>
      </c>
      <c r="K21">
        <v>38515</v>
      </c>
      <c r="L21">
        <v>89</v>
      </c>
      <c r="N21">
        <v>520</v>
      </c>
      <c r="O21">
        <v>16</v>
      </c>
      <c r="P21" s="1" t="s">
        <v>173</v>
      </c>
      <c r="Q21">
        <v>87</v>
      </c>
      <c r="R21" s="1" t="s">
        <v>83</v>
      </c>
      <c r="S21">
        <v>53</v>
      </c>
      <c r="T21" s="1" t="s">
        <v>174</v>
      </c>
      <c r="U21">
        <v>37</v>
      </c>
      <c r="V21">
        <v>77</v>
      </c>
      <c r="W21" s="1" t="s">
        <v>63</v>
      </c>
      <c r="X21" s="1" t="s">
        <v>27</v>
      </c>
      <c r="Y21" s="1" t="s">
        <v>164</v>
      </c>
      <c r="Z21" s="1" t="s">
        <v>175</v>
      </c>
    </row>
    <row r="22" spans="1:26" x14ac:dyDescent="0.25">
      <c r="A22" s="1" t="s">
        <v>176</v>
      </c>
      <c r="B22">
        <v>34165</v>
      </c>
      <c r="C22" s="1" t="s">
        <v>163</v>
      </c>
      <c r="D22" s="1" t="s">
        <v>177</v>
      </c>
      <c r="E22" s="1" t="s">
        <v>90</v>
      </c>
      <c r="F22">
        <v>24590</v>
      </c>
      <c r="G22">
        <v>362340</v>
      </c>
      <c r="H22" s="1" t="s">
        <v>67</v>
      </c>
      <c r="I22">
        <v>66</v>
      </c>
      <c r="J22" s="1" t="s">
        <v>148</v>
      </c>
      <c r="K22">
        <v>41960</v>
      </c>
      <c r="L22">
        <v>80</v>
      </c>
      <c r="M22">
        <v>89</v>
      </c>
      <c r="N22">
        <v>520</v>
      </c>
      <c r="O22">
        <v>17</v>
      </c>
      <c r="P22" s="1" t="s">
        <v>178</v>
      </c>
      <c r="Q22">
        <v>82</v>
      </c>
      <c r="R22" s="1" t="s">
        <v>67</v>
      </c>
      <c r="S22">
        <v>77</v>
      </c>
      <c r="T22" s="1" t="s">
        <v>179</v>
      </c>
      <c r="U22">
        <v>34</v>
      </c>
      <c r="V22">
        <v>82</v>
      </c>
      <c r="W22" s="1" t="s">
        <v>39</v>
      </c>
      <c r="X22" s="1" t="s">
        <v>27</v>
      </c>
      <c r="Y22" s="1" t="s">
        <v>180</v>
      </c>
      <c r="Z22" s="1" t="s">
        <v>139</v>
      </c>
    </row>
    <row r="23" spans="1:26" x14ac:dyDescent="0.25">
      <c r="A23" s="1" t="s">
        <v>181</v>
      </c>
      <c r="B23">
        <v>24194</v>
      </c>
      <c r="C23" s="1" t="s">
        <v>182</v>
      </c>
      <c r="D23" s="1" t="s">
        <v>40</v>
      </c>
      <c r="E23" s="1" t="s">
        <v>68</v>
      </c>
      <c r="F23">
        <v>19783</v>
      </c>
      <c r="G23">
        <v>79245</v>
      </c>
      <c r="H23" s="1" t="s">
        <v>96</v>
      </c>
      <c r="I23">
        <v>72</v>
      </c>
      <c r="J23" s="1" t="s">
        <v>111</v>
      </c>
      <c r="K23">
        <v>29876</v>
      </c>
      <c r="L23">
        <v>92</v>
      </c>
      <c r="M23">
        <v>89</v>
      </c>
      <c r="N23">
        <v>487</v>
      </c>
      <c r="O23">
        <v>18</v>
      </c>
      <c r="P23" s="1" t="s">
        <v>183</v>
      </c>
      <c r="Q23">
        <v>83</v>
      </c>
      <c r="R23" s="1" t="s">
        <v>111</v>
      </c>
      <c r="S23">
        <v>55</v>
      </c>
      <c r="T23" s="1" t="s">
        <v>184</v>
      </c>
      <c r="U23">
        <v>47</v>
      </c>
      <c r="V23">
        <v>72</v>
      </c>
      <c r="W23" s="1" t="s">
        <v>185</v>
      </c>
      <c r="X23" s="1" t="s">
        <v>41</v>
      </c>
      <c r="Y23" s="1" t="s">
        <v>27</v>
      </c>
      <c r="Z23" s="1" t="s">
        <v>79</v>
      </c>
    </row>
    <row r="24" spans="1:26" x14ac:dyDescent="0.25">
      <c r="A24" s="1" t="s">
        <v>186</v>
      </c>
      <c r="B24">
        <v>28407</v>
      </c>
      <c r="C24" s="1" t="s">
        <v>187</v>
      </c>
      <c r="D24" s="1" t="s">
        <v>74</v>
      </c>
      <c r="E24" s="1" t="s">
        <v>90</v>
      </c>
      <c r="F24">
        <v>26976</v>
      </c>
      <c r="G24">
        <v>182039</v>
      </c>
      <c r="H24" s="1" t="s">
        <v>27</v>
      </c>
      <c r="I24">
        <v>72</v>
      </c>
      <c r="J24" s="1" t="s">
        <v>163</v>
      </c>
      <c r="K24">
        <v>31811</v>
      </c>
      <c r="L24">
        <v>89</v>
      </c>
      <c r="M24">
        <v>94</v>
      </c>
      <c r="N24">
        <v>480</v>
      </c>
      <c r="O24">
        <v>18</v>
      </c>
      <c r="P24" s="1" t="s">
        <v>188</v>
      </c>
      <c r="Q24">
        <v>83</v>
      </c>
      <c r="R24" s="1" t="s">
        <v>54</v>
      </c>
      <c r="S24">
        <v>57</v>
      </c>
      <c r="T24" s="1" t="s">
        <v>144</v>
      </c>
      <c r="U24">
        <v>46</v>
      </c>
      <c r="V24">
        <v>62</v>
      </c>
      <c r="W24" s="1" t="s">
        <v>163</v>
      </c>
      <c r="X24" s="1" t="s">
        <v>30</v>
      </c>
      <c r="Y24" s="1" t="s">
        <v>27</v>
      </c>
      <c r="Z24" s="1" t="s">
        <v>149</v>
      </c>
    </row>
    <row r="25" spans="1:26" x14ac:dyDescent="0.25">
      <c r="A25" s="1" t="s">
        <v>189</v>
      </c>
      <c r="B25">
        <v>131384</v>
      </c>
      <c r="C25" s="1" t="s">
        <v>126</v>
      </c>
      <c r="D25" s="1" t="s">
        <v>121</v>
      </c>
      <c r="E25" s="1" t="s">
        <v>56</v>
      </c>
      <c r="F25">
        <v>44773</v>
      </c>
      <c r="G25">
        <v>941162</v>
      </c>
      <c r="H25" s="1" t="s">
        <v>111</v>
      </c>
      <c r="I25">
        <v>67</v>
      </c>
      <c r="J25" s="1" t="s">
        <v>107</v>
      </c>
      <c r="K25">
        <v>65854</v>
      </c>
      <c r="L25">
        <v>91</v>
      </c>
      <c r="M25">
        <v>74</v>
      </c>
      <c r="N25">
        <v>477</v>
      </c>
      <c r="O25">
        <v>15</v>
      </c>
      <c r="P25" s="1" t="s">
        <v>94</v>
      </c>
      <c r="Q25">
        <v>85</v>
      </c>
      <c r="R25" s="1" t="s">
        <v>107</v>
      </c>
      <c r="S25">
        <v>90</v>
      </c>
      <c r="T25" s="1" t="s">
        <v>190</v>
      </c>
      <c r="U25">
        <v>72</v>
      </c>
      <c r="V25">
        <v>87</v>
      </c>
      <c r="W25" s="1" t="s">
        <v>63</v>
      </c>
      <c r="X25" s="1" t="s">
        <v>191</v>
      </c>
      <c r="Y25" s="1" t="s">
        <v>27</v>
      </c>
      <c r="Z25" s="1" t="s">
        <v>192</v>
      </c>
    </row>
    <row r="26" spans="1:26" x14ac:dyDescent="0.25">
      <c r="A26" s="1" t="s">
        <v>193</v>
      </c>
      <c r="B26">
        <v>15249</v>
      </c>
      <c r="C26" s="1" t="s">
        <v>194</v>
      </c>
      <c r="D26" s="1" t="s">
        <v>195</v>
      </c>
      <c r="E26" s="1" t="s">
        <v>58</v>
      </c>
      <c r="F26">
        <v>16269</v>
      </c>
      <c r="H26" s="1" t="s">
        <v>196</v>
      </c>
      <c r="I26">
        <v>59</v>
      </c>
      <c r="J26" s="1" t="s">
        <v>126</v>
      </c>
      <c r="K26">
        <v>16230</v>
      </c>
      <c r="L26">
        <v>77</v>
      </c>
      <c r="M26">
        <v>42</v>
      </c>
      <c r="N26">
        <v>416</v>
      </c>
      <c r="O26">
        <v>15</v>
      </c>
      <c r="P26" s="1" t="s">
        <v>197</v>
      </c>
      <c r="Q26">
        <v>75</v>
      </c>
      <c r="R26" s="1" t="s">
        <v>198</v>
      </c>
      <c r="S26">
        <v>63</v>
      </c>
      <c r="T26" s="1" t="s">
        <v>199</v>
      </c>
      <c r="U26">
        <v>66</v>
      </c>
      <c r="V26">
        <v>42</v>
      </c>
      <c r="W26" s="1" t="s">
        <v>200</v>
      </c>
      <c r="X26" s="1" t="s">
        <v>201</v>
      </c>
      <c r="Y26" s="1" t="s">
        <v>27</v>
      </c>
      <c r="Z26" s="1" t="s">
        <v>146</v>
      </c>
    </row>
    <row r="27" spans="1:26" x14ac:dyDescent="0.25">
      <c r="A27" s="1" t="s">
        <v>202</v>
      </c>
      <c r="B27">
        <v>63750</v>
      </c>
      <c r="C27" s="1" t="s">
        <v>126</v>
      </c>
      <c r="D27" s="1" t="s">
        <v>203</v>
      </c>
      <c r="E27" s="1" t="s">
        <v>56</v>
      </c>
      <c r="F27">
        <v>34984</v>
      </c>
      <c r="G27">
        <v>248599</v>
      </c>
      <c r="H27" s="1" t="s">
        <v>163</v>
      </c>
      <c r="I27">
        <v>78</v>
      </c>
      <c r="J27" s="1" t="s">
        <v>34</v>
      </c>
      <c r="K27">
        <v>58828</v>
      </c>
      <c r="L27">
        <v>94</v>
      </c>
      <c r="M27">
        <v>81</v>
      </c>
      <c r="N27">
        <v>502</v>
      </c>
      <c r="O27">
        <v>19</v>
      </c>
      <c r="P27" s="1" t="s">
        <v>44</v>
      </c>
      <c r="Q27">
        <v>91</v>
      </c>
      <c r="R27" s="1" t="s">
        <v>65</v>
      </c>
      <c r="S27">
        <v>79</v>
      </c>
      <c r="T27" s="1" t="s">
        <v>204</v>
      </c>
      <c r="U27">
        <v>75</v>
      </c>
      <c r="V27">
        <v>83</v>
      </c>
      <c r="W27" s="1" t="s">
        <v>98</v>
      </c>
      <c r="X27" s="1" t="s">
        <v>151</v>
      </c>
      <c r="Y27" s="1" t="s">
        <v>205</v>
      </c>
      <c r="Z27" s="1" t="s">
        <v>105</v>
      </c>
    </row>
    <row r="28" spans="1:26" x14ac:dyDescent="0.25">
      <c r="A28" s="1" t="s">
        <v>206</v>
      </c>
      <c r="B28">
        <v>48531</v>
      </c>
      <c r="C28" s="1" t="s">
        <v>27</v>
      </c>
      <c r="D28" s="1" t="s">
        <v>207</v>
      </c>
      <c r="E28" s="1" t="s">
        <v>54</v>
      </c>
      <c r="F28">
        <v>39024</v>
      </c>
      <c r="G28">
        <v>514162</v>
      </c>
      <c r="H28" s="1" t="s">
        <v>100</v>
      </c>
      <c r="I28">
        <v>77</v>
      </c>
      <c r="J28" s="1" t="s">
        <v>115</v>
      </c>
      <c r="K28">
        <v>45269</v>
      </c>
      <c r="L28">
        <v>95</v>
      </c>
      <c r="M28">
        <v>81</v>
      </c>
      <c r="N28">
        <v>503</v>
      </c>
      <c r="O28">
        <v>18</v>
      </c>
      <c r="P28" s="1" t="s">
        <v>146</v>
      </c>
      <c r="Q28">
        <v>85</v>
      </c>
      <c r="R28" s="1" t="s">
        <v>163</v>
      </c>
      <c r="S28">
        <v>82</v>
      </c>
      <c r="T28" s="1" t="s">
        <v>57</v>
      </c>
      <c r="U28">
        <v>86</v>
      </c>
      <c r="V28">
        <v>66</v>
      </c>
      <c r="W28" s="1" t="s">
        <v>43</v>
      </c>
      <c r="X28" s="1" t="s">
        <v>208</v>
      </c>
      <c r="Y28" s="1" t="s">
        <v>209</v>
      </c>
      <c r="Z28" s="1" t="s">
        <v>131</v>
      </c>
    </row>
    <row r="29" spans="1:26" x14ac:dyDescent="0.25">
      <c r="A29" s="1" t="s">
        <v>210</v>
      </c>
      <c r="B29">
        <v>94660</v>
      </c>
      <c r="C29" s="1" t="s">
        <v>148</v>
      </c>
      <c r="D29" s="1" t="s">
        <v>211</v>
      </c>
      <c r="E29" s="1" t="s">
        <v>53</v>
      </c>
      <c r="F29">
        <v>39144</v>
      </c>
      <c r="G29">
        <v>268358</v>
      </c>
      <c r="H29" s="1" t="s">
        <v>191</v>
      </c>
      <c r="I29">
        <v>75</v>
      </c>
      <c r="J29" s="1" t="s">
        <v>34</v>
      </c>
      <c r="K29">
        <v>55780</v>
      </c>
      <c r="L29">
        <v>96</v>
      </c>
      <c r="M29">
        <v>82</v>
      </c>
      <c r="N29">
        <v>497</v>
      </c>
      <c r="O29">
        <v>18</v>
      </c>
      <c r="P29" s="1" t="s">
        <v>31</v>
      </c>
      <c r="Q29">
        <v>98</v>
      </c>
      <c r="R29" s="1" t="s">
        <v>111</v>
      </c>
      <c r="S29">
        <v>78</v>
      </c>
      <c r="T29" s="1" t="s">
        <v>33</v>
      </c>
      <c r="U29">
        <v>75</v>
      </c>
      <c r="V29">
        <v>93</v>
      </c>
      <c r="W29" s="1" t="s">
        <v>98</v>
      </c>
      <c r="X29" s="1" t="s">
        <v>83</v>
      </c>
      <c r="Y29" s="1" t="s">
        <v>212</v>
      </c>
      <c r="Z29" s="1" t="s">
        <v>131</v>
      </c>
    </row>
    <row r="30" spans="1:26" x14ac:dyDescent="0.25">
      <c r="A30" s="1" t="s">
        <v>213</v>
      </c>
      <c r="B30">
        <v>23014</v>
      </c>
      <c r="C30" s="1" t="s">
        <v>42</v>
      </c>
      <c r="D30" s="1" t="s">
        <v>214</v>
      </c>
      <c r="E30" s="1" t="s">
        <v>58</v>
      </c>
      <c r="F30">
        <v>23675</v>
      </c>
      <c r="G30">
        <v>233221</v>
      </c>
      <c r="H30" s="1" t="s">
        <v>215</v>
      </c>
      <c r="I30">
        <v>69</v>
      </c>
      <c r="J30" s="1" t="s">
        <v>98</v>
      </c>
      <c r="K30">
        <v>32527</v>
      </c>
      <c r="L30">
        <v>94</v>
      </c>
      <c r="M30">
        <v>93</v>
      </c>
      <c r="N30">
        <v>513</v>
      </c>
      <c r="O30">
        <v>18</v>
      </c>
      <c r="P30" s="1" t="s">
        <v>216</v>
      </c>
      <c r="Q30">
        <v>82</v>
      </c>
      <c r="R30" s="1" t="s">
        <v>65</v>
      </c>
      <c r="S30">
        <v>68</v>
      </c>
      <c r="T30" s="1" t="s">
        <v>217</v>
      </c>
      <c r="U30">
        <v>60</v>
      </c>
      <c r="V30">
        <v>71</v>
      </c>
      <c r="W30" s="1" t="s">
        <v>46</v>
      </c>
      <c r="X30" s="1" t="s">
        <v>218</v>
      </c>
      <c r="Y30" s="1" t="s">
        <v>219</v>
      </c>
      <c r="Z30" s="1" t="s">
        <v>175</v>
      </c>
    </row>
    <row r="31" spans="1:26" x14ac:dyDescent="0.25">
      <c r="A31" s="1" t="s">
        <v>220</v>
      </c>
      <c r="B31">
        <v>28969</v>
      </c>
      <c r="C31" s="1" t="s">
        <v>34</v>
      </c>
      <c r="D31" s="1" t="s">
        <v>203</v>
      </c>
      <c r="E31" s="1" t="s">
        <v>107</v>
      </c>
      <c r="F31">
        <v>24877</v>
      </c>
      <c r="G31">
        <v>255303</v>
      </c>
      <c r="H31" s="1" t="s">
        <v>221</v>
      </c>
      <c r="I31">
        <v>69</v>
      </c>
      <c r="J31" s="1" t="s">
        <v>42</v>
      </c>
      <c r="K31">
        <v>28410</v>
      </c>
      <c r="L31">
        <v>87</v>
      </c>
      <c r="M31">
        <v>55</v>
      </c>
      <c r="N31">
        <v>492</v>
      </c>
      <c r="O31">
        <v>17</v>
      </c>
      <c r="P31" s="1" t="s">
        <v>222</v>
      </c>
      <c r="Q31">
        <v>89</v>
      </c>
      <c r="R31" s="1" t="s">
        <v>90</v>
      </c>
      <c r="S31">
        <v>49</v>
      </c>
      <c r="T31" s="1" t="s">
        <v>223</v>
      </c>
      <c r="U31">
        <v>50</v>
      </c>
      <c r="V31">
        <v>83</v>
      </c>
      <c r="W31" s="1" t="s">
        <v>51</v>
      </c>
      <c r="X31" s="1" t="s">
        <v>224</v>
      </c>
      <c r="Y31" s="1" t="s">
        <v>27</v>
      </c>
      <c r="Z31" s="1" t="s">
        <v>139</v>
      </c>
    </row>
    <row r="32" spans="1:26" x14ac:dyDescent="0.25">
      <c r="A32" s="1" t="s">
        <v>225</v>
      </c>
      <c r="B32">
        <v>25935</v>
      </c>
      <c r="C32" s="1" t="s">
        <v>90</v>
      </c>
      <c r="D32" s="1" t="s">
        <v>226</v>
      </c>
      <c r="E32" s="1" t="s">
        <v>58</v>
      </c>
      <c r="F32">
        <v>21149</v>
      </c>
      <c r="G32">
        <v>171425</v>
      </c>
      <c r="H32" s="1" t="s">
        <v>227</v>
      </c>
      <c r="I32">
        <v>68</v>
      </c>
      <c r="J32" s="1" t="s">
        <v>228</v>
      </c>
      <c r="K32">
        <v>23619</v>
      </c>
      <c r="L32">
        <v>95</v>
      </c>
      <c r="M32">
        <v>92</v>
      </c>
      <c r="N32">
        <v>469</v>
      </c>
      <c r="O32">
        <v>16</v>
      </c>
      <c r="P32" s="1" t="s">
        <v>229</v>
      </c>
      <c r="Q32">
        <v>81</v>
      </c>
      <c r="R32" s="1" t="s">
        <v>228</v>
      </c>
      <c r="S32">
        <v>66</v>
      </c>
      <c r="T32" s="1" t="s">
        <v>230</v>
      </c>
      <c r="U32">
        <v>65</v>
      </c>
      <c r="V32">
        <v>76</v>
      </c>
      <c r="W32" s="1" t="s">
        <v>39</v>
      </c>
      <c r="X32" s="1" t="s">
        <v>218</v>
      </c>
      <c r="Y32" s="1" t="s">
        <v>27</v>
      </c>
      <c r="Z32" s="1" t="s">
        <v>113</v>
      </c>
    </row>
    <row r="33" spans="1:26" x14ac:dyDescent="0.25">
      <c r="A33" s="1" t="s">
        <v>231</v>
      </c>
      <c r="B33">
        <v>34026</v>
      </c>
      <c r="C33" s="1" t="s">
        <v>63</v>
      </c>
      <c r="D33" s="1" t="s">
        <v>232</v>
      </c>
      <c r="E33" s="1" t="s">
        <v>41</v>
      </c>
      <c r="F33">
        <v>25250</v>
      </c>
      <c r="G33">
        <v>233286</v>
      </c>
      <c r="H33" s="1" t="s">
        <v>109</v>
      </c>
      <c r="I33">
        <v>71</v>
      </c>
      <c r="J33" s="1" t="s">
        <v>75</v>
      </c>
      <c r="K33">
        <v>41445</v>
      </c>
      <c r="L33">
        <v>95</v>
      </c>
      <c r="M33">
        <v>90</v>
      </c>
      <c r="N33">
        <v>504</v>
      </c>
      <c r="O33">
        <v>18</v>
      </c>
      <c r="P33" s="1" t="s">
        <v>89</v>
      </c>
      <c r="Q33">
        <v>93</v>
      </c>
      <c r="R33" s="1" t="s">
        <v>163</v>
      </c>
      <c r="S33">
        <v>53</v>
      </c>
      <c r="T33" s="1" t="s">
        <v>233</v>
      </c>
      <c r="U33">
        <v>67</v>
      </c>
      <c r="V33">
        <v>91</v>
      </c>
      <c r="W33" s="1" t="s">
        <v>115</v>
      </c>
      <c r="X33" s="1" t="s">
        <v>224</v>
      </c>
      <c r="Y33" s="1" t="s">
        <v>27</v>
      </c>
      <c r="Z33" s="1" t="s">
        <v>113</v>
      </c>
    </row>
    <row r="34" spans="1:26" x14ac:dyDescent="0.25">
      <c r="A34" s="1" t="s">
        <v>234</v>
      </c>
      <c r="B34">
        <v>34045</v>
      </c>
      <c r="C34" s="1" t="s">
        <v>151</v>
      </c>
      <c r="D34" s="1" t="s">
        <v>134</v>
      </c>
      <c r="E34" s="1" t="s">
        <v>75</v>
      </c>
      <c r="F34">
        <v>27155</v>
      </c>
      <c r="G34">
        <v>366534</v>
      </c>
      <c r="H34" s="1" t="s">
        <v>235</v>
      </c>
      <c r="I34">
        <v>62</v>
      </c>
      <c r="J34" s="1" t="s">
        <v>215</v>
      </c>
      <c r="K34">
        <v>37922</v>
      </c>
      <c r="L34">
        <v>93</v>
      </c>
      <c r="M34">
        <v>63</v>
      </c>
      <c r="O34">
        <v>18</v>
      </c>
      <c r="P34" s="1" t="s">
        <v>94</v>
      </c>
      <c r="Q34">
        <v>76</v>
      </c>
      <c r="R34" s="1" t="s">
        <v>92</v>
      </c>
      <c r="S34">
        <v>72</v>
      </c>
      <c r="T34" s="1" t="s">
        <v>236</v>
      </c>
      <c r="U34">
        <v>75</v>
      </c>
      <c r="V34">
        <v>80</v>
      </c>
      <c r="W34" s="1" t="s">
        <v>51</v>
      </c>
      <c r="X34" s="1" t="s">
        <v>163</v>
      </c>
      <c r="Y34" s="1" t="s">
        <v>237</v>
      </c>
      <c r="Z34" s="1" t="s">
        <v>113</v>
      </c>
    </row>
    <row r="35" spans="1:26" x14ac:dyDescent="0.25">
      <c r="A35" s="1" t="s">
        <v>238</v>
      </c>
      <c r="B35">
        <v>58529</v>
      </c>
      <c r="C35" s="1" t="s">
        <v>148</v>
      </c>
      <c r="D35" s="1" t="s">
        <v>239</v>
      </c>
      <c r="E35" s="1" t="s">
        <v>107</v>
      </c>
      <c r="F35">
        <v>33730</v>
      </c>
      <c r="H35" s="1" t="s">
        <v>240</v>
      </c>
      <c r="I35">
        <v>75</v>
      </c>
      <c r="J35" s="1" t="s">
        <v>30</v>
      </c>
      <c r="K35">
        <v>47020</v>
      </c>
      <c r="L35">
        <v>94</v>
      </c>
      <c r="M35">
        <v>84</v>
      </c>
      <c r="N35">
        <v>503</v>
      </c>
      <c r="O35">
        <v>20</v>
      </c>
      <c r="P35" s="1" t="s">
        <v>139</v>
      </c>
      <c r="Q35">
        <v>97</v>
      </c>
      <c r="R35" s="1" t="s">
        <v>56</v>
      </c>
      <c r="S35">
        <v>87</v>
      </c>
      <c r="T35" s="1" t="s">
        <v>150</v>
      </c>
      <c r="U35">
        <v>76</v>
      </c>
      <c r="V35">
        <v>79</v>
      </c>
      <c r="W35" s="1" t="s">
        <v>58</v>
      </c>
      <c r="X35" s="1" t="s">
        <v>34</v>
      </c>
      <c r="Y35" s="1" t="s">
        <v>27</v>
      </c>
      <c r="Z35" s="1" t="s">
        <v>131</v>
      </c>
    </row>
    <row r="36" spans="1:26" x14ac:dyDescent="0.25">
      <c r="A36" s="1" t="s">
        <v>241</v>
      </c>
      <c r="B36">
        <v>105669</v>
      </c>
      <c r="C36" s="1" t="s">
        <v>148</v>
      </c>
      <c r="D36" s="1" t="s">
        <v>242</v>
      </c>
      <c r="E36" s="1" t="s">
        <v>75</v>
      </c>
      <c r="F36">
        <v>39697</v>
      </c>
      <c r="H36" s="1" t="s">
        <v>27</v>
      </c>
      <c r="I36">
        <v>80</v>
      </c>
      <c r="J36" s="1" t="s">
        <v>107</v>
      </c>
      <c r="K36">
        <v>64824</v>
      </c>
      <c r="L36">
        <v>94</v>
      </c>
      <c r="M36">
        <v>89</v>
      </c>
      <c r="N36">
        <v>498</v>
      </c>
      <c r="O36">
        <v>17</v>
      </c>
      <c r="P36" s="1" t="s">
        <v>243</v>
      </c>
      <c r="Q36">
        <v>96</v>
      </c>
      <c r="R36" s="1" t="s">
        <v>42</v>
      </c>
      <c r="S36">
        <v>45</v>
      </c>
      <c r="T36" s="1" t="s">
        <v>244</v>
      </c>
      <c r="U36">
        <v>81</v>
      </c>
      <c r="V36">
        <v>86</v>
      </c>
      <c r="W36" s="1" t="s">
        <v>151</v>
      </c>
      <c r="X36" s="1" t="s">
        <v>115</v>
      </c>
      <c r="Y36" s="1" t="s">
        <v>27</v>
      </c>
      <c r="Z36" s="1" t="s">
        <v>105</v>
      </c>
    </row>
    <row r="37" spans="1:26" x14ac:dyDescent="0.25">
      <c r="A37" s="1" t="s">
        <v>245</v>
      </c>
      <c r="B37">
        <v>12765</v>
      </c>
      <c r="C37" s="1" t="s">
        <v>246</v>
      </c>
      <c r="D37" s="1" t="s">
        <v>247</v>
      </c>
      <c r="E37" s="1" t="s">
        <v>30</v>
      </c>
      <c r="H37" s="1" t="s">
        <v>248</v>
      </c>
      <c r="I37">
        <v>48</v>
      </c>
      <c r="J37" s="1" t="s">
        <v>69</v>
      </c>
      <c r="L37">
        <v>85</v>
      </c>
      <c r="M37">
        <v>42</v>
      </c>
      <c r="N37">
        <v>462</v>
      </c>
      <c r="O37">
        <v>19</v>
      </c>
      <c r="P37" s="1" t="s">
        <v>249</v>
      </c>
      <c r="Q37">
        <v>62</v>
      </c>
      <c r="R37" s="1" t="s">
        <v>90</v>
      </c>
      <c r="S37">
        <v>86</v>
      </c>
      <c r="T37" s="1" t="s">
        <v>250</v>
      </c>
      <c r="U37">
        <v>67</v>
      </c>
      <c r="V37">
        <v>59</v>
      </c>
      <c r="W37" s="1" t="s">
        <v>30</v>
      </c>
      <c r="X37" s="1" t="s">
        <v>207</v>
      </c>
      <c r="Y37" s="1" t="s">
        <v>251</v>
      </c>
      <c r="Z37" s="1" t="s">
        <v>246</v>
      </c>
    </row>
    <row r="38" spans="1:26" x14ac:dyDescent="0.25">
      <c r="A38" s="1" t="s">
        <v>252</v>
      </c>
      <c r="B38">
        <v>51075</v>
      </c>
      <c r="C38" s="1" t="s">
        <v>46</v>
      </c>
      <c r="D38" s="1" t="s">
        <v>253</v>
      </c>
      <c r="E38" s="1" t="s">
        <v>56</v>
      </c>
      <c r="F38">
        <v>33049</v>
      </c>
      <c r="G38">
        <v>524422</v>
      </c>
      <c r="H38" s="1" t="s">
        <v>69</v>
      </c>
      <c r="I38">
        <v>75</v>
      </c>
      <c r="J38" s="1" t="s">
        <v>34</v>
      </c>
      <c r="K38">
        <v>47147</v>
      </c>
      <c r="L38">
        <v>93</v>
      </c>
      <c r="M38">
        <v>82</v>
      </c>
      <c r="N38">
        <v>503</v>
      </c>
      <c r="O38">
        <v>17</v>
      </c>
      <c r="P38" s="1" t="s">
        <v>243</v>
      </c>
      <c r="Q38">
        <v>82</v>
      </c>
      <c r="R38" s="1" t="s">
        <v>29</v>
      </c>
      <c r="S38">
        <v>68</v>
      </c>
      <c r="T38" s="1" t="s">
        <v>254</v>
      </c>
      <c r="U38">
        <v>73</v>
      </c>
      <c r="V38">
        <v>78</v>
      </c>
      <c r="W38" s="1" t="s">
        <v>63</v>
      </c>
      <c r="X38" s="1" t="s">
        <v>135</v>
      </c>
      <c r="Y38" s="1" t="s">
        <v>255</v>
      </c>
      <c r="Z38" s="1" t="s">
        <v>61</v>
      </c>
    </row>
    <row r="39" spans="1:26" x14ac:dyDescent="0.25">
      <c r="A39" s="1" t="s">
        <v>256</v>
      </c>
      <c r="B39">
        <v>85373</v>
      </c>
      <c r="C39" s="1" t="s">
        <v>126</v>
      </c>
      <c r="D39" s="1" t="s">
        <v>257</v>
      </c>
      <c r="E39" s="1" t="s">
        <v>54</v>
      </c>
      <c r="F39">
        <v>51147</v>
      </c>
      <c r="G39">
        <v>684500</v>
      </c>
      <c r="H39" s="1" t="s">
        <v>218</v>
      </c>
      <c r="I39">
        <v>67</v>
      </c>
      <c r="J39" s="1" t="s">
        <v>46</v>
      </c>
      <c r="K39">
        <v>69392</v>
      </c>
      <c r="L39">
        <v>94</v>
      </c>
      <c r="M39">
        <v>92</v>
      </c>
      <c r="N39">
        <v>495</v>
      </c>
      <c r="O39">
        <v>17</v>
      </c>
      <c r="P39" s="1" t="s">
        <v>78</v>
      </c>
      <c r="Q39">
        <v>88</v>
      </c>
      <c r="R39" s="1" t="s">
        <v>29</v>
      </c>
      <c r="S39">
        <v>65</v>
      </c>
      <c r="T39" s="1" t="s">
        <v>258</v>
      </c>
      <c r="U39">
        <v>88</v>
      </c>
      <c r="V39">
        <v>78</v>
      </c>
      <c r="W39" s="1" t="s">
        <v>146</v>
      </c>
      <c r="X39" s="1" t="s">
        <v>259</v>
      </c>
      <c r="Y39" s="1" t="s">
        <v>70</v>
      </c>
      <c r="Z39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19" workbookViewId="0">
      <selection activeCell="I45" sqref="I45"/>
    </sheetView>
  </sheetViews>
  <sheetFormatPr defaultRowHeight="15" x14ac:dyDescent="0.25"/>
  <cols>
    <col min="1" max="1" width="15.7109375" customWidth="1"/>
    <col min="2" max="2" width="16.7109375" customWidth="1"/>
    <col min="3" max="3" width="14.7109375" customWidth="1"/>
    <col min="4" max="4" width="16" customWidth="1"/>
    <col min="5" max="5" width="19.42578125" customWidth="1"/>
    <col min="6" max="6" width="23.7109375" customWidth="1"/>
    <col min="7" max="7" width="17.140625" customWidth="1"/>
    <col min="9" max="9" width="16.28515625" customWidth="1"/>
    <col min="10" max="10" width="12" customWidth="1"/>
    <col min="11" max="11" width="14.7109375" customWidth="1"/>
    <col min="12" max="12" width="13" customWidth="1"/>
    <col min="13" max="13" width="21.28515625" customWidth="1"/>
    <col min="14" max="14" width="24.7109375" customWidth="1"/>
    <col min="15" max="15" width="13.85546875" customWidth="1"/>
  </cols>
  <sheetData>
    <row r="1" spans="1:15" ht="39.75" customHeight="1" x14ac:dyDescent="0.25">
      <c r="A1" s="6" t="s">
        <v>0</v>
      </c>
      <c r="B1" s="10" t="s">
        <v>1</v>
      </c>
      <c r="C1" s="10" t="s">
        <v>19</v>
      </c>
      <c r="D1" s="10" t="s">
        <v>8</v>
      </c>
      <c r="E1" s="10" t="s">
        <v>11</v>
      </c>
      <c r="F1" s="6" t="s">
        <v>21</v>
      </c>
      <c r="G1" s="6" t="s">
        <v>25</v>
      </c>
      <c r="I1" s="6" t="s">
        <v>0</v>
      </c>
      <c r="J1" s="10" t="s">
        <v>1</v>
      </c>
      <c r="K1" s="10" t="s">
        <v>19</v>
      </c>
      <c r="L1" s="10" t="s">
        <v>8</v>
      </c>
      <c r="M1" s="10" t="s">
        <v>11</v>
      </c>
      <c r="N1" s="6" t="s">
        <v>21</v>
      </c>
      <c r="O1" s="6" t="s">
        <v>25</v>
      </c>
    </row>
    <row r="2" spans="1:15" x14ac:dyDescent="0.25">
      <c r="A2" s="4" t="s">
        <v>26</v>
      </c>
      <c r="B2">
        <v>66589</v>
      </c>
      <c r="C2" s="9">
        <v>83</v>
      </c>
      <c r="D2" s="9">
        <v>73</v>
      </c>
      <c r="E2" s="9">
        <v>93</v>
      </c>
      <c r="F2" s="2">
        <v>67</v>
      </c>
      <c r="G2" s="4">
        <v>7.1</v>
      </c>
      <c r="I2" s="4" t="s">
        <v>26</v>
      </c>
      <c r="J2">
        <f>Таблица2[[#This Row],[GDP per capita (USD)]] - B$41</f>
        <v>18449.815789473687</v>
      </c>
      <c r="K2">
        <f>Таблица2[[#This Row],[  Life expectancy]] - C$41</f>
        <v>2.0157894736841939</v>
      </c>
      <c r="L2">
        <f>Таблица2[[#This Row],[  Employment rate]] - D$41</f>
        <v>4.3421052631578902</v>
      </c>
      <c r="M2">
        <f>Таблица2[[#This Row],[  Quality of support network]] - E$41</f>
        <v>1.9210526315789451</v>
      </c>
      <c r="N2">
        <f>Таблица2[[#This Row],[  Feeling safe walking alone at night]] - F$41</f>
        <v>-6.8421052631578902</v>
      </c>
      <c r="O2">
        <f>Таблица2[[#This Row],[  Life satisfaction]] - G$41</f>
        <v>0.41315789473684017</v>
      </c>
    </row>
    <row r="3" spans="1:15" x14ac:dyDescent="0.25">
      <c r="A3" s="5" t="s">
        <v>38</v>
      </c>
      <c r="B3">
        <v>59225</v>
      </c>
      <c r="C3" s="5">
        <v>82</v>
      </c>
      <c r="D3" s="5">
        <v>72</v>
      </c>
      <c r="E3" s="5">
        <v>92</v>
      </c>
      <c r="F3" s="3">
        <v>86</v>
      </c>
      <c r="G3" s="5">
        <v>7.2</v>
      </c>
      <c r="I3" s="5" t="s">
        <v>38</v>
      </c>
      <c r="J3">
        <f>Таблица2[[#This Row],[GDP per capita (USD)]] - B$41</f>
        <v>11085.815789473687</v>
      </c>
      <c r="K3">
        <f>Таблица2[[#This Row],[  Life expectancy]] - C$41</f>
        <v>1.0157894736841939</v>
      </c>
      <c r="L3">
        <f>Таблица2[[#This Row],[  Employment rate]] - D$41</f>
        <v>3.3421052631578902</v>
      </c>
      <c r="M3">
        <f>Таблица2[[#This Row],[  Quality of support network]] - E$41</f>
        <v>0.92105263157894512</v>
      </c>
      <c r="N3">
        <f>Таблица2[[#This Row],[  Feeling safe walking alone at night]] - F$41</f>
        <v>12.15789473684211</v>
      </c>
      <c r="O3">
        <f>Таблица2[[#This Row],[  Life satisfaction]] - G$41</f>
        <v>0.5131578947368407</v>
      </c>
    </row>
    <row r="4" spans="1:15" x14ac:dyDescent="0.25">
      <c r="A4" s="4" t="s">
        <v>50</v>
      </c>
      <c r="B4">
        <v>55536</v>
      </c>
      <c r="C4" s="5">
        <v>82.1</v>
      </c>
      <c r="D4" s="5">
        <v>65</v>
      </c>
      <c r="E4" s="5">
        <v>90</v>
      </c>
      <c r="F4" s="2">
        <v>56</v>
      </c>
      <c r="G4" s="4">
        <v>6.8</v>
      </c>
      <c r="I4" s="4" t="s">
        <v>50</v>
      </c>
      <c r="J4">
        <f>Таблица2[[#This Row],[GDP per capita (USD)]] - B$41</f>
        <v>7396.8157894736869</v>
      </c>
      <c r="K4">
        <f>Таблица2[[#This Row],[  Life expectancy]] - C$41</f>
        <v>1.1157894736841882</v>
      </c>
      <c r="L4">
        <f>Таблица2[[#This Row],[  Employment rate]] - D$41</f>
        <v>-3.6578947368421098</v>
      </c>
      <c r="M4">
        <f>Таблица2[[#This Row],[  Quality of support network]] - E$41</f>
        <v>-1.0789473684210549</v>
      </c>
      <c r="N4">
        <f>Таблица2[[#This Row],[  Feeling safe walking alone at night]] - F$41</f>
        <v>-17.84210526315789</v>
      </c>
      <c r="O4">
        <f>Таблица2[[#This Row],[  Life satisfaction]] - G$41</f>
        <v>0.11315789473684035</v>
      </c>
    </row>
    <row r="5" spans="1:15" x14ac:dyDescent="0.25">
      <c r="A5" s="5" t="s">
        <v>62</v>
      </c>
      <c r="B5">
        <v>54866</v>
      </c>
      <c r="C5" s="5">
        <v>82.1</v>
      </c>
      <c r="D5" s="5">
        <v>70</v>
      </c>
      <c r="E5" s="5">
        <v>93</v>
      </c>
      <c r="F5" s="3">
        <v>78</v>
      </c>
      <c r="G5" s="5">
        <v>7</v>
      </c>
      <c r="I5" s="5" t="s">
        <v>62</v>
      </c>
      <c r="J5">
        <f>Таблица2[[#This Row],[GDP per capita (USD)]] - B$41</f>
        <v>6726.8157894736869</v>
      </c>
      <c r="K5">
        <f>Таблица2[[#This Row],[  Life expectancy]] - C$41</f>
        <v>1.1157894736841882</v>
      </c>
      <c r="L5">
        <f>Таблица2[[#This Row],[  Employment rate]] - D$41</f>
        <v>1.3421052631578902</v>
      </c>
      <c r="M5">
        <f>Таблица2[[#This Row],[  Quality of support network]] - E$41</f>
        <v>1.9210526315789451</v>
      </c>
      <c r="N5">
        <f>Таблица2[[#This Row],[  Feeling safe walking alone at night]] - F$41</f>
        <v>4.1578947368421098</v>
      </c>
      <c r="O5">
        <f>Таблица2[[#This Row],[  Life satisfaction]] - G$41</f>
        <v>0.31315789473684053</v>
      </c>
    </row>
    <row r="6" spans="1:15" x14ac:dyDescent="0.25">
      <c r="A6" s="4" t="s">
        <v>72</v>
      </c>
      <c r="B6">
        <v>16616</v>
      </c>
      <c r="C6" s="5">
        <v>80.599999999999994</v>
      </c>
      <c r="D6" s="5">
        <v>56</v>
      </c>
      <c r="E6" s="5">
        <v>88</v>
      </c>
      <c r="F6" s="2">
        <v>41</v>
      </c>
      <c r="G6" s="4">
        <v>6.2</v>
      </c>
      <c r="I6" s="4" t="s">
        <v>72</v>
      </c>
      <c r="J6">
        <f>Таблица2[[#This Row],[GDP per capita (USD)]] - B$41</f>
        <v>-31523.184210526313</v>
      </c>
      <c r="K6">
        <f>Таблица2[[#This Row],[  Life expectancy]] - C$41</f>
        <v>-0.38421052631581176</v>
      </c>
      <c r="L6">
        <f>Таблица2[[#This Row],[  Employment rate]] - D$41</f>
        <v>-12.65789473684211</v>
      </c>
      <c r="M6">
        <f>Таблица2[[#This Row],[  Quality of support network]] - E$41</f>
        <v>-3.0789473684210549</v>
      </c>
      <c r="N6">
        <f>Таблица2[[#This Row],[  Feeling safe walking alone at night]] - F$41</f>
        <v>-32.84210526315789</v>
      </c>
      <c r="O6">
        <f>Таблица2[[#This Row],[  Life satisfaction]] - G$41</f>
        <v>-0.4868421052631593</v>
      </c>
    </row>
    <row r="7" spans="1:15" x14ac:dyDescent="0.25">
      <c r="A7" s="5" t="s">
        <v>80</v>
      </c>
      <c r="B7">
        <v>7327</v>
      </c>
      <c r="C7" s="5">
        <v>76.7</v>
      </c>
      <c r="D7" s="5">
        <v>58</v>
      </c>
      <c r="E7" s="5">
        <v>80</v>
      </c>
      <c r="F7" s="3">
        <v>50</v>
      </c>
      <c r="G7" s="5">
        <v>5.7</v>
      </c>
      <c r="I7" s="5" t="s">
        <v>80</v>
      </c>
      <c r="J7">
        <f>Таблица2[[#This Row],[GDP per capita (USD)]] - B$41</f>
        <v>-40812.184210526313</v>
      </c>
      <c r="K7">
        <f>Таблица2[[#This Row],[  Life expectancy]] - C$41</f>
        <v>-4.2842105263158032</v>
      </c>
      <c r="L7">
        <f>Таблица2[[#This Row],[  Employment rate]] - D$41</f>
        <v>-10.65789473684211</v>
      </c>
      <c r="M7">
        <f>Таблица2[[#This Row],[  Quality of support network]] - E$41</f>
        <v>-11.078947368421055</v>
      </c>
      <c r="N7">
        <f>Таблица2[[#This Row],[  Feeling safe walking alone at night]] - F$41</f>
        <v>-23.84210526315789</v>
      </c>
      <c r="O7">
        <f>Таблица2[[#This Row],[  Life satisfaction]] - G$41</f>
        <v>-0.9868421052631593</v>
      </c>
    </row>
    <row r="8" spans="1:15" x14ac:dyDescent="0.25">
      <c r="A8" s="4" t="s">
        <v>88</v>
      </c>
      <c r="B8">
        <v>18031</v>
      </c>
      <c r="C8" s="5">
        <v>80.5</v>
      </c>
      <c r="D8" s="5">
        <v>55</v>
      </c>
      <c r="E8" s="5">
        <v>82</v>
      </c>
      <c r="F8" s="2">
        <v>47</v>
      </c>
      <c r="G8" s="4">
        <v>6.3</v>
      </c>
      <c r="I8" s="4" t="s">
        <v>88</v>
      </c>
      <c r="J8">
        <f>Таблица2[[#This Row],[GDP per capita (USD)]] - B$41</f>
        <v>-30108.184210526313</v>
      </c>
      <c r="K8">
        <f>Таблица2[[#This Row],[  Life expectancy]] - C$41</f>
        <v>-0.48421052631580608</v>
      </c>
      <c r="L8">
        <f>Таблица2[[#This Row],[  Employment rate]] - D$41</f>
        <v>-13.65789473684211</v>
      </c>
      <c r="M8">
        <f>Таблица2[[#This Row],[  Quality of support network]] - E$41</f>
        <v>-9.0789473684210549</v>
      </c>
      <c r="N8">
        <f>Таблица2[[#This Row],[  Feeling safe walking alone at night]] - F$41</f>
        <v>-26.84210526315789</v>
      </c>
      <c r="O8">
        <f>Таблица2[[#This Row],[  Life satisfaction]] - G$41</f>
        <v>-0.38684210526315965</v>
      </c>
    </row>
    <row r="9" spans="1:15" x14ac:dyDescent="0.25">
      <c r="A9" s="5" t="s">
        <v>97</v>
      </c>
      <c r="B9">
        <v>29801</v>
      </c>
      <c r="C9" s="5">
        <v>79.3</v>
      </c>
      <c r="D9" s="5">
        <v>74</v>
      </c>
      <c r="E9" s="5">
        <v>96</v>
      </c>
      <c r="F9" s="3">
        <v>77</v>
      </c>
      <c r="G9" s="5">
        <v>6.9</v>
      </c>
      <c r="I9" s="5" t="s">
        <v>97</v>
      </c>
      <c r="J9">
        <f>Таблица2[[#This Row],[GDP per capita (USD)]] - B$41</f>
        <v>-18338.184210526313</v>
      </c>
      <c r="K9">
        <f>Таблица2[[#This Row],[  Life expectancy]] - C$41</f>
        <v>-1.6842105263158089</v>
      </c>
      <c r="L9">
        <f>Таблица2[[#This Row],[  Employment rate]] - D$41</f>
        <v>5.3421052631578902</v>
      </c>
      <c r="M9">
        <f>Таблица2[[#This Row],[  Quality of support network]] - E$41</f>
        <v>4.9210526315789451</v>
      </c>
      <c r="N9">
        <f>Таблица2[[#This Row],[  Feeling safe walking alone at night]] - F$41</f>
        <v>3.1578947368421098</v>
      </c>
      <c r="O9">
        <f>Таблица2[[#This Row],[  Life satisfaction]] - G$41</f>
        <v>0.21315789473684088</v>
      </c>
    </row>
    <row r="10" spans="1:15" x14ac:dyDescent="0.25">
      <c r="A10" s="4" t="s">
        <v>102</v>
      </c>
      <c r="B10">
        <v>68898</v>
      </c>
      <c r="C10" s="5">
        <v>81.5</v>
      </c>
      <c r="D10" s="5">
        <v>74</v>
      </c>
      <c r="E10" s="5">
        <v>95</v>
      </c>
      <c r="F10" s="2">
        <v>85</v>
      </c>
      <c r="G10" s="4">
        <v>7.5</v>
      </c>
      <c r="I10" s="4" t="s">
        <v>102</v>
      </c>
      <c r="J10">
        <f>Таблица2[[#This Row],[GDP per capita (USD)]] - B$41</f>
        <v>20758.815789473687</v>
      </c>
      <c r="K10">
        <f>Таблица2[[#This Row],[  Life expectancy]] - C$41</f>
        <v>0.51578947368419392</v>
      </c>
      <c r="L10">
        <f>Таблица2[[#This Row],[  Employment rate]] - D$41</f>
        <v>5.3421052631578902</v>
      </c>
      <c r="M10">
        <f>Таблица2[[#This Row],[  Quality of support network]] - E$41</f>
        <v>3.9210526315789451</v>
      </c>
      <c r="N10">
        <f>Таблица2[[#This Row],[  Feeling safe walking alone at night]] - F$41</f>
        <v>11.15789473684211</v>
      </c>
      <c r="O10">
        <f>Таблица2[[#This Row],[  Life satisfaction]] - G$41</f>
        <v>0.81315789473684053</v>
      </c>
    </row>
    <row r="11" spans="1:15" x14ac:dyDescent="0.25">
      <c r="A11" s="5" t="s">
        <v>106</v>
      </c>
      <c r="B11">
        <v>31855</v>
      </c>
      <c r="C11" s="5">
        <v>78.8</v>
      </c>
      <c r="D11" s="5">
        <v>74</v>
      </c>
      <c r="E11" s="5">
        <v>95</v>
      </c>
      <c r="F11" s="3">
        <v>79</v>
      </c>
      <c r="G11" s="5">
        <v>6.5</v>
      </c>
      <c r="I11" s="5" t="s">
        <v>106</v>
      </c>
      <c r="J11">
        <f>Таблица2[[#This Row],[GDP per capita (USD)]] - B$41</f>
        <v>-16284.184210526313</v>
      </c>
      <c r="K11">
        <f>Таблица2[[#This Row],[  Life expectancy]] - C$41</f>
        <v>-2.1842105263158089</v>
      </c>
      <c r="L11">
        <f>Таблица2[[#This Row],[  Employment rate]] - D$41</f>
        <v>5.3421052631578902</v>
      </c>
      <c r="M11">
        <f>Таблица2[[#This Row],[  Quality of support network]] - E$41</f>
        <v>3.9210526315789451</v>
      </c>
      <c r="N11">
        <f>Таблица2[[#This Row],[  Feeling safe walking alone at night]] - F$41</f>
        <v>5.1578947368421098</v>
      </c>
      <c r="O11">
        <f>Таблица2[[#This Row],[  Life satisfaction]] - G$41</f>
        <v>-0.18684210526315947</v>
      </c>
    </row>
    <row r="12" spans="1:15" x14ac:dyDescent="0.25">
      <c r="A12" s="4" t="s">
        <v>114</v>
      </c>
      <c r="B12">
        <v>55127</v>
      </c>
      <c r="C12" s="5">
        <v>82.1</v>
      </c>
      <c r="D12" s="5">
        <v>72</v>
      </c>
      <c r="E12" s="5">
        <v>96</v>
      </c>
      <c r="F12" s="2">
        <v>88</v>
      </c>
      <c r="G12" s="4">
        <v>7.9</v>
      </c>
      <c r="I12" s="4" t="s">
        <v>114</v>
      </c>
      <c r="J12">
        <f>Таблица2[[#This Row],[GDP per capita (USD)]] - B$41</f>
        <v>6987.8157894736869</v>
      </c>
      <c r="K12">
        <f>Таблица2[[#This Row],[  Life expectancy]] - C$41</f>
        <v>1.1157894736841882</v>
      </c>
      <c r="L12">
        <f>Таблица2[[#This Row],[  Employment rate]] - D$41</f>
        <v>3.3421052631578902</v>
      </c>
      <c r="M12">
        <f>Таблица2[[#This Row],[  Quality of support network]] - E$41</f>
        <v>4.9210526315789451</v>
      </c>
      <c r="N12">
        <f>Таблица2[[#This Row],[  Feeling safe walking alone at night]] - F$41</f>
        <v>14.15789473684211</v>
      </c>
      <c r="O12">
        <f>Таблица2[[#This Row],[  Life satisfaction]] - G$41</f>
        <v>1.2131578947368409</v>
      </c>
    </row>
    <row r="13" spans="1:15" x14ac:dyDescent="0.25">
      <c r="A13" s="5" t="s">
        <v>120</v>
      </c>
      <c r="B13">
        <v>47359</v>
      </c>
      <c r="C13" s="5">
        <v>82.9</v>
      </c>
      <c r="D13" s="5">
        <v>65</v>
      </c>
      <c r="E13" s="5">
        <v>94</v>
      </c>
      <c r="F13" s="3">
        <v>74</v>
      </c>
      <c r="G13" s="5">
        <v>6.7</v>
      </c>
      <c r="I13" s="5" t="s">
        <v>120</v>
      </c>
      <c r="J13">
        <f>Таблица2[[#This Row],[GDP per capita (USD)]] - B$41</f>
        <v>-780.18421052631311</v>
      </c>
      <c r="K13">
        <f>Таблица2[[#This Row],[  Life expectancy]] - C$41</f>
        <v>1.9157894736841996</v>
      </c>
      <c r="L13">
        <f>Таблица2[[#This Row],[  Employment rate]] - D$41</f>
        <v>-3.6578947368421098</v>
      </c>
      <c r="M13">
        <f>Таблица2[[#This Row],[  Quality of support network]] - E$41</f>
        <v>2.9210526315789451</v>
      </c>
      <c r="N13">
        <f>Таблица2[[#This Row],[  Feeling safe walking alone at night]] - F$41</f>
        <v>0.15789473684210975</v>
      </c>
      <c r="O13">
        <f>Таблица2[[#This Row],[  Life satisfaction]] - G$41</f>
        <v>1.3157894736840703E-2</v>
      </c>
    </row>
    <row r="14" spans="1:15" x14ac:dyDescent="0.25">
      <c r="A14" s="4" t="s">
        <v>125</v>
      </c>
      <c r="B14">
        <v>54291</v>
      </c>
      <c r="C14" s="5">
        <v>81.400000000000006</v>
      </c>
      <c r="D14" s="5">
        <v>77</v>
      </c>
      <c r="E14" s="5">
        <v>90</v>
      </c>
      <c r="F14" s="2">
        <v>76</v>
      </c>
      <c r="G14" s="4">
        <v>7.3</v>
      </c>
      <c r="I14" s="4" t="s">
        <v>125</v>
      </c>
      <c r="J14">
        <f>Таблица2[[#This Row],[GDP per capita (USD)]] - B$41</f>
        <v>6151.8157894736869</v>
      </c>
      <c r="K14">
        <f>Таблица2[[#This Row],[  Life expectancy]] - C$41</f>
        <v>0.41578947368419961</v>
      </c>
      <c r="L14">
        <f>Таблица2[[#This Row],[  Employment rate]] - D$41</f>
        <v>8.3421052631578902</v>
      </c>
      <c r="M14">
        <f>Таблица2[[#This Row],[  Quality of support network]] - E$41</f>
        <v>-1.0789473684210549</v>
      </c>
      <c r="N14">
        <f>Таблица2[[#This Row],[  Feeling safe walking alone at night]] - F$41</f>
        <v>2.1578947368421098</v>
      </c>
      <c r="O14">
        <f>Таблица2[[#This Row],[  Life satisfaction]] - G$41</f>
        <v>0.61315789473684035</v>
      </c>
    </row>
    <row r="15" spans="1:15" x14ac:dyDescent="0.25">
      <c r="A15" s="5" t="s">
        <v>132</v>
      </c>
      <c r="B15">
        <v>23966</v>
      </c>
      <c r="C15" s="5">
        <v>81.7</v>
      </c>
      <c r="D15" s="5">
        <v>56</v>
      </c>
      <c r="E15" s="5">
        <v>78</v>
      </c>
      <c r="F15" s="3">
        <v>69</v>
      </c>
      <c r="G15" s="5">
        <v>5.8</v>
      </c>
      <c r="I15" s="5" t="s">
        <v>132</v>
      </c>
      <c r="J15">
        <f>Таблица2[[#This Row],[GDP per capita (USD)]] - B$41</f>
        <v>-24173.184210526313</v>
      </c>
      <c r="K15">
        <f>Таблица2[[#This Row],[  Life expectancy]] - C$41</f>
        <v>0.71578947368419676</v>
      </c>
      <c r="L15">
        <f>Таблица2[[#This Row],[  Employment rate]] - D$41</f>
        <v>-12.65789473684211</v>
      </c>
      <c r="M15">
        <f>Таблица2[[#This Row],[  Quality of support network]] - E$41</f>
        <v>-13.078947368421055</v>
      </c>
      <c r="N15">
        <f>Таблица2[[#This Row],[  Feeling safe walking alone at night]] - F$41</f>
        <v>-4.8421052631578902</v>
      </c>
      <c r="O15">
        <f>Таблица2[[#This Row],[  Life satisfaction]] - G$41</f>
        <v>-0.88684210526315965</v>
      </c>
    </row>
    <row r="16" spans="1:15" x14ac:dyDescent="0.25">
      <c r="A16" s="4" t="s">
        <v>140</v>
      </c>
      <c r="B16">
        <v>23319</v>
      </c>
      <c r="C16" s="5">
        <v>76.400000000000006</v>
      </c>
      <c r="D16" s="5">
        <v>70</v>
      </c>
      <c r="E16" s="5">
        <v>94</v>
      </c>
      <c r="F16" s="2">
        <v>74</v>
      </c>
      <c r="G16" s="4">
        <v>6</v>
      </c>
      <c r="I16" s="4" t="s">
        <v>140</v>
      </c>
      <c r="J16">
        <f>Таблица2[[#This Row],[GDP per capita (USD)]] - B$41</f>
        <v>-24820.184210526313</v>
      </c>
      <c r="K16">
        <f>Таблица2[[#This Row],[  Life expectancy]] - C$41</f>
        <v>-4.5842105263158004</v>
      </c>
      <c r="L16">
        <f>Таблица2[[#This Row],[  Employment rate]] - D$41</f>
        <v>1.3421052631578902</v>
      </c>
      <c r="M16">
        <f>Таблица2[[#This Row],[  Quality of support network]] - E$41</f>
        <v>2.9210526315789451</v>
      </c>
      <c r="N16">
        <f>Таблица2[[#This Row],[  Feeling safe walking alone at night]] - F$41</f>
        <v>0.15789473684210975</v>
      </c>
      <c r="O16">
        <f>Таблица2[[#This Row],[  Life satisfaction]] - G$41</f>
        <v>-0.68684210526315947</v>
      </c>
    </row>
    <row r="17" spans="1:15" x14ac:dyDescent="0.25">
      <c r="A17" s="5" t="s">
        <v>147</v>
      </c>
      <c r="B17">
        <v>84594</v>
      </c>
      <c r="C17" s="5">
        <v>83.2</v>
      </c>
      <c r="D17" s="5">
        <v>78</v>
      </c>
      <c r="E17" s="5">
        <v>98</v>
      </c>
      <c r="F17" s="3">
        <v>85</v>
      </c>
      <c r="G17" s="5">
        <v>7.6</v>
      </c>
      <c r="I17" s="5" t="s">
        <v>147</v>
      </c>
      <c r="J17">
        <f>Таблица2[[#This Row],[GDP per capita (USD)]] - B$41</f>
        <v>36454.815789473687</v>
      </c>
      <c r="K17">
        <f>Таблица2[[#This Row],[  Life expectancy]] - C$41</f>
        <v>2.2157894736841968</v>
      </c>
      <c r="L17">
        <f>Таблица2[[#This Row],[  Employment rate]] - D$41</f>
        <v>9.3421052631578902</v>
      </c>
      <c r="M17">
        <f>Таблица2[[#This Row],[  Quality of support network]] - E$41</f>
        <v>6.9210526315789451</v>
      </c>
      <c r="N17">
        <f>Таблица2[[#This Row],[  Feeling safe walking alone at night]] - F$41</f>
        <v>11.15789473684211</v>
      </c>
      <c r="O17">
        <f>Таблица2[[#This Row],[  Life satisfaction]] - G$41</f>
        <v>0.91315789473684017</v>
      </c>
    </row>
    <row r="18" spans="1:15" x14ac:dyDescent="0.25">
      <c r="A18" s="4" t="s">
        <v>154</v>
      </c>
      <c r="B18">
        <v>106059</v>
      </c>
      <c r="C18" s="5">
        <v>82.8</v>
      </c>
      <c r="D18" s="5">
        <v>68</v>
      </c>
      <c r="E18" s="5">
        <v>96</v>
      </c>
      <c r="F18" s="2">
        <v>76</v>
      </c>
      <c r="G18" s="4">
        <v>7</v>
      </c>
      <c r="I18" s="4" t="s">
        <v>154</v>
      </c>
      <c r="J18">
        <f>Таблица2[[#This Row],[GDP per capita (USD)]] - B$41</f>
        <v>57919.815789473687</v>
      </c>
      <c r="K18">
        <f>Таблица2[[#This Row],[  Life expectancy]] - C$41</f>
        <v>1.8157894736841911</v>
      </c>
      <c r="L18">
        <f>Таблица2[[#This Row],[  Employment rate]] - D$41</f>
        <v>-0.65789473684210975</v>
      </c>
      <c r="M18">
        <f>Таблица2[[#This Row],[  Quality of support network]] - E$41</f>
        <v>4.9210526315789451</v>
      </c>
      <c r="N18">
        <f>Таблица2[[#This Row],[  Feeling safe walking alone at night]] - F$41</f>
        <v>2.1578947368421098</v>
      </c>
      <c r="O18">
        <f>Таблица2[[#This Row],[  Life satisfaction]] - G$41</f>
        <v>0.31315789473684053</v>
      </c>
    </row>
    <row r="19" spans="1:15" x14ac:dyDescent="0.25">
      <c r="A19" s="5" t="s">
        <v>160</v>
      </c>
      <c r="B19">
        <v>53372</v>
      </c>
      <c r="C19" s="5">
        <v>82.9</v>
      </c>
      <c r="D19" s="5">
        <v>67</v>
      </c>
      <c r="E19" s="5">
        <v>95</v>
      </c>
      <c r="F19" s="3">
        <v>80</v>
      </c>
      <c r="G19" s="5">
        <v>7.2</v>
      </c>
      <c r="I19" s="5" t="s">
        <v>160</v>
      </c>
      <c r="J19">
        <f>Таблица2[[#This Row],[GDP per capita (USD)]] - B$41</f>
        <v>5232.8157894736869</v>
      </c>
      <c r="K19">
        <f>Таблица2[[#This Row],[  Life expectancy]] - C$41</f>
        <v>1.9157894736841996</v>
      </c>
      <c r="L19">
        <f>Таблица2[[#This Row],[  Employment rate]] - D$41</f>
        <v>-1.6578947368421098</v>
      </c>
      <c r="M19">
        <f>Таблица2[[#This Row],[  Quality of support network]] - E$41</f>
        <v>3.9210526315789451</v>
      </c>
      <c r="N19">
        <f>Таблица2[[#This Row],[  Feeling safe walking alone at night]] - F$41</f>
        <v>6.1578947368421098</v>
      </c>
      <c r="O19">
        <f>Таблица2[[#This Row],[  Life satisfaction]] - G$41</f>
        <v>0.5131578947368407</v>
      </c>
    </row>
    <row r="20" spans="1:15" x14ac:dyDescent="0.25">
      <c r="A20" s="4" t="s">
        <v>165</v>
      </c>
      <c r="B20">
        <v>39580</v>
      </c>
      <c r="C20" s="5">
        <v>83.6</v>
      </c>
      <c r="D20" s="5">
        <v>58</v>
      </c>
      <c r="E20" s="5">
        <v>89</v>
      </c>
      <c r="F20" s="2">
        <v>73</v>
      </c>
      <c r="G20" s="4">
        <v>6.5</v>
      </c>
      <c r="I20" s="4" t="s">
        <v>165</v>
      </c>
      <c r="J20">
        <f>Таблица2[[#This Row],[GDP per capita (USD)]] - B$41</f>
        <v>-8559.1842105263131</v>
      </c>
      <c r="K20">
        <f>Таблица2[[#This Row],[  Life expectancy]] - C$41</f>
        <v>2.6157894736841882</v>
      </c>
      <c r="L20">
        <f>Таблица2[[#This Row],[  Employment rate]] - D$41</f>
        <v>-10.65789473684211</v>
      </c>
      <c r="M20">
        <f>Таблица2[[#This Row],[  Quality of support network]] - E$41</f>
        <v>-2.0789473684210549</v>
      </c>
      <c r="N20">
        <f>Таблица2[[#This Row],[  Feeling safe walking alone at night]] - F$41</f>
        <v>-0.84210526315789025</v>
      </c>
      <c r="O20">
        <f>Таблица2[[#This Row],[  Life satisfaction]] - G$41</f>
        <v>-0.18684210526315947</v>
      </c>
    </row>
    <row r="21" spans="1:15" x14ac:dyDescent="0.25">
      <c r="A21" s="5" t="s">
        <v>172</v>
      </c>
      <c r="B21">
        <v>33138</v>
      </c>
      <c r="C21" s="5">
        <v>84.4</v>
      </c>
      <c r="D21" s="5">
        <v>77</v>
      </c>
      <c r="E21" s="5">
        <v>89</v>
      </c>
      <c r="F21" s="3">
        <v>77</v>
      </c>
      <c r="G21" s="5">
        <v>6.1</v>
      </c>
      <c r="I21" s="5" t="s">
        <v>172</v>
      </c>
      <c r="J21">
        <f>Таблица2[[#This Row],[GDP per capita (USD)]] - B$41</f>
        <v>-15001.184210526313</v>
      </c>
      <c r="K21">
        <f>Таблица2[[#This Row],[  Life expectancy]] - C$41</f>
        <v>3.4157894736841996</v>
      </c>
      <c r="L21">
        <f>Таблица2[[#This Row],[  Employment rate]] - D$41</f>
        <v>8.3421052631578902</v>
      </c>
      <c r="M21">
        <f>Таблица2[[#This Row],[  Quality of support network]] - E$41</f>
        <v>-2.0789473684210549</v>
      </c>
      <c r="N21">
        <f>Таблица2[[#This Row],[  Feeling safe walking alone at night]] - F$41</f>
        <v>3.1578947368421098</v>
      </c>
      <c r="O21">
        <f>Таблица2[[#This Row],[  Life satisfaction]] - G$41</f>
        <v>-0.58684210526315983</v>
      </c>
    </row>
    <row r="22" spans="1:15" x14ac:dyDescent="0.25">
      <c r="A22" s="4" t="s">
        <v>176</v>
      </c>
      <c r="B22">
        <v>34165</v>
      </c>
      <c r="C22" s="5">
        <v>83.3</v>
      </c>
      <c r="D22" s="5">
        <v>66</v>
      </c>
      <c r="E22" s="5">
        <v>80</v>
      </c>
      <c r="F22" s="2">
        <v>82</v>
      </c>
      <c r="G22" s="4">
        <v>5.8</v>
      </c>
      <c r="I22" s="4" t="s">
        <v>176</v>
      </c>
      <c r="J22">
        <f>Таблица2[[#This Row],[GDP per capita (USD)]] - B$41</f>
        <v>-13974.184210526313</v>
      </c>
      <c r="K22">
        <f>Таблица2[[#This Row],[  Life expectancy]] - C$41</f>
        <v>2.3157894736841911</v>
      </c>
      <c r="L22">
        <f>Таблица2[[#This Row],[  Employment rate]] - D$41</f>
        <v>-2.6578947368421098</v>
      </c>
      <c r="M22">
        <f>Таблица2[[#This Row],[  Quality of support network]] - E$41</f>
        <v>-11.078947368421055</v>
      </c>
      <c r="N22">
        <f>Таблица2[[#This Row],[  Feeling safe walking alone at night]] - F$41</f>
        <v>8.1578947368421098</v>
      </c>
      <c r="O22">
        <f>Таблица2[[#This Row],[  Life satisfaction]] - G$41</f>
        <v>-0.88684210526315965</v>
      </c>
    </row>
    <row r="23" spans="1:15" x14ac:dyDescent="0.25">
      <c r="A23" s="5" t="s">
        <v>181</v>
      </c>
      <c r="B23">
        <v>24194</v>
      </c>
      <c r="C23" s="5">
        <v>75.5</v>
      </c>
      <c r="D23" s="5">
        <v>72</v>
      </c>
      <c r="E23" s="5">
        <v>92</v>
      </c>
      <c r="F23" s="3">
        <v>72</v>
      </c>
      <c r="G23" s="5">
        <v>6.2</v>
      </c>
      <c r="I23" s="5" t="s">
        <v>181</v>
      </c>
      <c r="J23">
        <f>Таблица2[[#This Row],[GDP per capita (USD)]] - B$41</f>
        <v>-23945.184210526313</v>
      </c>
      <c r="K23">
        <f>Таблица2[[#This Row],[  Life expectancy]] - C$41</f>
        <v>-5.4842105263158061</v>
      </c>
      <c r="L23">
        <f>Таблица2[[#This Row],[  Employment rate]] - D$41</f>
        <v>3.3421052631578902</v>
      </c>
      <c r="M23">
        <f>Таблица2[[#This Row],[  Quality of support network]] - E$41</f>
        <v>0.92105263157894512</v>
      </c>
      <c r="N23">
        <f>Таблица2[[#This Row],[  Feeling safe walking alone at night]] - F$41</f>
        <v>-1.8421052631578902</v>
      </c>
      <c r="O23">
        <f>Таблица2[[#This Row],[  Life satisfaction]] - G$41</f>
        <v>-0.4868421052631593</v>
      </c>
    </row>
    <row r="24" spans="1:15" x14ac:dyDescent="0.25">
      <c r="A24" s="4" t="s">
        <v>186</v>
      </c>
      <c r="B24">
        <v>28407</v>
      </c>
      <c r="C24" s="5">
        <v>76.400000000000006</v>
      </c>
      <c r="D24" s="5">
        <v>72</v>
      </c>
      <c r="E24" s="5">
        <v>89</v>
      </c>
      <c r="F24" s="2">
        <v>62</v>
      </c>
      <c r="G24" s="4">
        <v>6.4</v>
      </c>
      <c r="I24" s="4" t="s">
        <v>186</v>
      </c>
      <c r="J24">
        <f>Таблица2[[#This Row],[GDP per capita (USD)]] - B$41</f>
        <v>-19732.184210526313</v>
      </c>
      <c r="K24">
        <f>Таблица2[[#This Row],[  Life expectancy]] - C$41</f>
        <v>-4.5842105263158004</v>
      </c>
      <c r="L24">
        <f>Таблица2[[#This Row],[  Employment rate]] - D$41</f>
        <v>3.3421052631578902</v>
      </c>
      <c r="M24">
        <f>Таблица2[[#This Row],[  Quality of support network]] - E$41</f>
        <v>-2.0789473684210549</v>
      </c>
      <c r="N24">
        <f>Таблица2[[#This Row],[  Feeling safe walking alone at night]] - F$41</f>
        <v>-11.84210526315789</v>
      </c>
      <c r="O24">
        <f>Таблица2[[#This Row],[  Life satisfaction]] - G$41</f>
        <v>-0.28684210526315912</v>
      </c>
    </row>
    <row r="25" spans="1:15" x14ac:dyDescent="0.25">
      <c r="A25" s="5" t="s">
        <v>189</v>
      </c>
      <c r="B25">
        <v>131384</v>
      </c>
      <c r="C25" s="5">
        <v>82.7</v>
      </c>
      <c r="D25" s="5">
        <v>67</v>
      </c>
      <c r="E25" s="5">
        <v>91</v>
      </c>
      <c r="F25" s="3">
        <v>87</v>
      </c>
      <c r="G25" s="5">
        <v>7.4</v>
      </c>
      <c r="I25" s="5" t="s">
        <v>189</v>
      </c>
      <c r="J25">
        <f>Таблица2[[#This Row],[GDP per capita (USD)]] - B$41</f>
        <v>83244.81578947368</v>
      </c>
      <c r="K25">
        <f>Таблица2[[#This Row],[  Life expectancy]] - C$41</f>
        <v>1.7157894736841968</v>
      </c>
      <c r="L25">
        <f>Таблица2[[#This Row],[  Employment rate]] - D$41</f>
        <v>-1.6578947368421098</v>
      </c>
      <c r="M25">
        <f>Таблица2[[#This Row],[  Quality of support network]] - E$41</f>
        <v>-7.8947368421054875E-2</v>
      </c>
      <c r="N25">
        <f>Таблица2[[#This Row],[  Feeling safe walking alone at night]] - F$41</f>
        <v>13.15789473684211</v>
      </c>
      <c r="O25">
        <f>Таблица2[[#This Row],[  Life satisfaction]] - G$41</f>
        <v>0.71315789473684088</v>
      </c>
    </row>
    <row r="26" spans="1:15" x14ac:dyDescent="0.25">
      <c r="A26" s="4" t="s">
        <v>193</v>
      </c>
      <c r="B26">
        <v>15249</v>
      </c>
      <c r="C26" s="5">
        <v>75.099999999999994</v>
      </c>
      <c r="D26" s="5">
        <v>59</v>
      </c>
      <c r="E26" s="5">
        <v>77</v>
      </c>
      <c r="F26" s="2">
        <v>42</v>
      </c>
      <c r="G26" s="4">
        <v>6</v>
      </c>
      <c r="I26" s="4" t="s">
        <v>193</v>
      </c>
      <c r="J26">
        <f>Таблица2[[#This Row],[GDP per capita (USD)]] - B$41</f>
        <v>-32890.184210526313</v>
      </c>
      <c r="K26">
        <f>Таблица2[[#This Row],[  Life expectancy]] - C$41</f>
        <v>-5.8842105263158118</v>
      </c>
      <c r="L26">
        <f>Таблица2[[#This Row],[  Employment rate]] - D$41</f>
        <v>-9.6578947368421098</v>
      </c>
      <c r="M26">
        <f>Таблица2[[#This Row],[  Quality of support network]] - E$41</f>
        <v>-14.078947368421055</v>
      </c>
      <c r="N26">
        <f>Таблица2[[#This Row],[  Feeling safe walking alone at night]] - F$41</f>
        <v>-31.84210526315789</v>
      </c>
      <c r="O26">
        <f>Таблица2[[#This Row],[  Life satisfaction]] - G$41</f>
        <v>-0.68684210526315947</v>
      </c>
    </row>
    <row r="27" spans="1:15" x14ac:dyDescent="0.25">
      <c r="A27" s="5" t="s">
        <v>202</v>
      </c>
      <c r="B27">
        <v>63750</v>
      </c>
      <c r="C27" s="5">
        <v>82.2</v>
      </c>
      <c r="D27" s="5">
        <v>78</v>
      </c>
      <c r="E27" s="5">
        <v>94</v>
      </c>
      <c r="F27" s="3">
        <v>83</v>
      </c>
      <c r="G27" s="5">
        <v>7.5</v>
      </c>
      <c r="I27" s="5" t="s">
        <v>202</v>
      </c>
      <c r="J27">
        <f>Таблица2[[#This Row],[GDP per capita (USD)]] - B$41</f>
        <v>15610.815789473687</v>
      </c>
      <c r="K27">
        <f>Таблица2[[#This Row],[  Life expectancy]] - C$41</f>
        <v>1.2157894736841968</v>
      </c>
      <c r="L27">
        <f>Таблица2[[#This Row],[  Employment rate]] - D$41</f>
        <v>9.3421052631578902</v>
      </c>
      <c r="M27">
        <f>Таблица2[[#This Row],[  Quality of support network]] - E$41</f>
        <v>2.9210526315789451</v>
      </c>
      <c r="N27">
        <f>Таблица2[[#This Row],[  Feeling safe walking alone at night]] - F$41</f>
        <v>9.1578947368421098</v>
      </c>
      <c r="O27">
        <f>Таблица2[[#This Row],[  Life satisfaction]] - G$41</f>
        <v>0.81315789473684053</v>
      </c>
    </row>
    <row r="28" spans="1:15" x14ac:dyDescent="0.25">
      <c r="A28" s="4" t="s">
        <v>206</v>
      </c>
      <c r="B28">
        <v>48531</v>
      </c>
      <c r="C28" s="5">
        <v>82.1</v>
      </c>
      <c r="D28" s="5">
        <v>77</v>
      </c>
      <c r="E28" s="5">
        <v>95</v>
      </c>
      <c r="F28" s="2">
        <v>66</v>
      </c>
      <c r="G28" s="4">
        <v>7.3</v>
      </c>
      <c r="I28" s="4" t="s">
        <v>206</v>
      </c>
      <c r="J28">
        <f>Таблица2[[#This Row],[GDP per capita (USD)]] - B$41</f>
        <v>391.81578947368689</v>
      </c>
      <c r="K28">
        <f>Таблица2[[#This Row],[  Life expectancy]] - C$41</f>
        <v>1.1157894736841882</v>
      </c>
      <c r="L28">
        <f>Таблица2[[#This Row],[  Employment rate]] - D$41</f>
        <v>8.3421052631578902</v>
      </c>
      <c r="M28">
        <f>Таблица2[[#This Row],[  Quality of support network]] - E$41</f>
        <v>3.9210526315789451</v>
      </c>
      <c r="N28">
        <f>Таблица2[[#This Row],[  Feeling safe walking alone at night]] - F$41</f>
        <v>-7.8421052631578902</v>
      </c>
      <c r="O28">
        <f>Таблица2[[#This Row],[  Life satisfaction]] - G$41</f>
        <v>0.61315789473684035</v>
      </c>
    </row>
    <row r="29" spans="1:15" x14ac:dyDescent="0.25">
      <c r="A29" s="5" t="s">
        <v>210</v>
      </c>
      <c r="B29">
        <v>94660</v>
      </c>
      <c r="C29" s="5">
        <v>83</v>
      </c>
      <c r="D29" s="5">
        <v>75</v>
      </c>
      <c r="E29" s="5">
        <v>96</v>
      </c>
      <c r="F29" s="3">
        <v>93</v>
      </c>
      <c r="G29" s="5">
        <v>7.3</v>
      </c>
      <c r="I29" s="5" t="s">
        <v>210</v>
      </c>
      <c r="J29">
        <f>Таблица2[[#This Row],[GDP per capita (USD)]] - B$41</f>
        <v>46520.815789473687</v>
      </c>
      <c r="K29">
        <f>Таблица2[[#This Row],[  Life expectancy]] - C$41</f>
        <v>2.0157894736841939</v>
      </c>
      <c r="L29">
        <f>Таблица2[[#This Row],[  Employment rate]] - D$41</f>
        <v>6.3421052631578902</v>
      </c>
      <c r="M29">
        <f>Таблица2[[#This Row],[  Quality of support network]] - E$41</f>
        <v>4.9210526315789451</v>
      </c>
      <c r="N29">
        <f>Таблица2[[#This Row],[  Feeling safe walking alone at night]] - F$41</f>
        <v>19.15789473684211</v>
      </c>
      <c r="O29">
        <f>Таблица2[[#This Row],[  Life satisfaction]] - G$41</f>
        <v>0.61315789473684035</v>
      </c>
    </row>
    <row r="30" spans="1:15" x14ac:dyDescent="0.25">
      <c r="A30" s="4" t="s">
        <v>213</v>
      </c>
      <c r="B30">
        <v>23014</v>
      </c>
      <c r="C30" s="5">
        <v>78</v>
      </c>
      <c r="D30" s="5">
        <v>69</v>
      </c>
      <c r="E30" s="5">
        <v>94</v>
      </c>
      <c r="F30" s="2">
        <v>71</v>
      </c>
      <c r="G30" s="4">
        <v>6.1</v>
      </c>
      <c r="I30" s="4" t="s">
        <v>213</v>
      </c>
      <c r="J30">
        <f>Таблица2[[#This Row],[GDP per capita (USD)]] - B$41</f>
        <v>-25125.184210526313</v>
      </c>
      <c r="K30">
        <f>Таблица2[[#This Row],[  Life expectancy]] - C$41</f>
        <v>-2.9842105263158061</v>
      </c>
      <c r="L30">
        <f>Таблица2[[#This Row],[  Employment rate]] - D$41</f>
        <v>0.34210526315789025</v>
      </c>
      <c r="M30">
        <f>Таблица2[[#This Row],[  Quality of support network]] - E$41</f>
        <v>2.9210526315789451</v>
      </c>
      <c r="N30">
        <f>Таблица2[[#This Row],[  Feeling safe walking alone at night]] - F$41</f>
        <v>-2.8421052631578902</v>
      </c>
      <c r="O30">
        <f>Таблица2[[#This Row],[  Life satisfaction]] - G$41</f>
        <v>-0.58684210526315983</v>
      </c>
    </row>
    <row r="31" spans="1:15" x14ac:dyDescent="0.25">
      <c r="A31" s="5" t="s">
        <v>220</v>
      </c>
      <c r="B31">
        <v>28969</v>
      </c>
      <c r="C31" s="5">
        <v>81.8</v>
      </c>
      <c r="D31" s="5">
        <v>69</v>
      </c>
      <c r="E31" s="5">
        <v>87</v>
      </c>
      <c r="F31" s="3">
        <v>83</v>
      </c>
      <c r="G31" s="5">
        <v>5.8</v>
      </c>
      <c r="I31" s="5" t="s">
        <v>220</v>
      </c>
      <c r="J31">
        <f>Таблица2[[#This Row],[GDP per capita (USD)]] - B$41</f>
        <v>-19170.184210526313</v>
      </c>
      <c r="K31">
        <f>Таблица2[[#This Row],[  Life expectancy]] - C$41</f>
        <v>0.81578947368419108</v>
      </c>
      <c r="L31">
        <f>Таблица2[[#This Row],[  Employment rate]] - D$41</f>
        <v>0.34210526315789025</v>
      </c>
      <c r="M31">
        <f>Таблица2[[#This Row],[  Quality of support network]] - E$41</f>
        <v>-4.0789473684210549</v>
      </c>
      <c r="N31">
        <f>Таблица2[[#This Row],[  Feeling safe walking alone at night]] - F$41</f>
        <v>9.1578947368421098</v>
      </c>
      <c r="O31">
        <f>Таблица2[[#This Row],[  Life satisfaction]] - G$41</f>
        <v>-0.88684210526315965</v>
      </c>
    </row>
    <row r="32" spans="1:15" x14ac:dyDescent="0.25">
      <c r="A32" s="4" t="s">
        <v>225</v>
      </c>
      <c r="B32">
        <v>25935</v>
      </c>
      <c r="C32" s="5">
        <v>77.8</v>
      </c>
      <c r="D32" s="5">
        <v>68</v>
      </c>
      <c r="E32" s="5">
        <v>95</v>
      </c>
      <c r="F32" s="2">
        <v>76</v>
      </c>
      <c r="G32" s="4">
        <v>6.5</v>
      </c>
      <c r="I32" s="4" t="s">
        <v>225</v>
      </c>
      <c r="J32">
        <f>Таблица2[[#This Row],[GDP per capita (USD)]] - B$41</f>
        <v>-22204.184210526313</v>
      </c>
      <c r="K32">
        <f>Таблица2[[#This Row],[  Life expectancy]] - C$41</f>
        <v>-3.1842105263158089</v>
      </c>
      <c r="L32">
        <f>Таблица2[[#This Row],[  Employment rate]] - D$41</f>
        <v>-0.65789473684210975</v>
      </c>
      <c r="M32">
        <f>Таблица2[[#This Row],[  Quality of support network]] - E$41</f>
        <v>3.9210526315789451</v>
      </c>
      <c r="N32">
        <f>Таблица2[[#This Row],[  Feeling safe walking alone at night]] - F$41</f>
        <v>2.1578947368421098</v>
      </c>
      <c r="O32">
        <f>Таблица2[[#This Row],[  Life satisfaction]] - G$41</f>
        <v>-0.18684210526315947</v>
      </c>
    </row>
    <row r="33" spans="1:15" x14ac:dyDescent="0.25">
      <c r="A33" s="5" t="s">
        <v>231</v>
      </c>
      <c r="B33">
        <v>34026</v>
      </c>
      <c r="C33" s="5">
        <v>81.599999999999994</v>
      </c>
      <c r="D33" s="5">
        <v>71</v>
      </c>
      <c r="E33" s="5">
        <v>95</v>
      </c>
      <c r="F33" s="3">
        <v>91</v>
      </c>
      <c r="G33" s="5">
        <v>6.5</v>
      </c>
      <c r="I33" s="5" t="s">
        <v>231</v>
      </c>
      <c r="J33">
        <f>Таблица2[[#This Row],[GDP per capita (USD)]] - B$41</f>
        <v>-14113.184210526313</v>
      </c>
      <c r="K33">
        <f>Таблица2[[#This Row],[  Life expectancy]] - C$41</f>
        <v>0.61578947368418824</v>
      </c>
      <c r="L33">
        <f>Таблица2[[#This Row],[  Employment rate]] - D$41</f>
        <v>2.3421052631578902</v>
      </c>
      <c r="M33">
        <f>Таблица2[[#This Row],[  Quality of support network]] - E$41</f>
        <v>3.9210526315789451</v>
      </c>
      <c r="N33">
        <f>Таблица2[[#This Row],[  Feeling safe walking alone at night]] - F$41</f>
        <v>17.15789473684211</v>
      </c>
      <c r="O33">
        <f>Таблица2[[#This Row],[  Life satisfaction]] - G$41</f>
        <v>-0.18684210526315947</v>
      </c>
    </row>
    <row r="34" spans="1:15" x14ac:dyDescent="0.25">
      <c r="A34" s="4" t="s">
        <v>234</v>
      </c>
      <c r="B34">
        <v>34045</v>
      </c>
      <c r="C34" s="5">
        <v>83.9</v>
      </c>
      <c r="D34" s="5">
        <v>62</v>
      </c>
      <c r="E34" s="5">
        <v>93</v>
      </c>
      <c r="F34" s="2">
        <v>80</v>
      </c>
      <c r="G34" s="4">
        <v>6.5</v>
      </c>
      <c r="I34" s="4" t="s">
        <v>234</v>
      </c>
      <c r="J34">
        <f>Таблица2[[#This Row],[GDP per capita (USD)]] - B$41</f>
        <v>-14094.184210526313</v>
      </c>
      <c r="K34">
        <f>Таблица2[[#This Row],[  Life expectancy]] - C$41</f>
        <v>2.9157894736841996</v>
      </c>
      <c r="L34">
        <f>Таблица2[[#This Row],[  Employment rate]] - D$41</f>
        <v>-6.6578947368421098</v>
      </c>
      <c r="M34">
        <f>Таблица2[[#This Row],[  Quality of support network]] - E$41</f>
        <v>1.9210526315789451</v>
      </c>
      <c r="N34">
        <f>Таблица2[[#This Row],[  Feeling safe walking alone at night]] - F$41</f>
        <v>6.1578947368421098</v>
      </c>
      <c r="O34">
        <f>Таблица2[[#This Row],[  Life satisfaction]] - G$41</f>
        <v>-0.18684210526315947</v>
      </c>
    </row>
    <row r="35" spans="1:15" x14ac:dyDescent="0.25">
      <c r="A35" s="5" t="s">
        <v>238</v>
      </c>
      <c r="B35">
        <v>58529</v>
      </c>
      <c r="C35" s="5">
        <v>83.2</v>
      </c>
      <c r="D35" s="5">
        <v>75</v>
      </c>
      <c r="E35" s="5">
        <v>94</v>
      </c>
      <c r="F35" s="3">
        <v>79</v>
      </c>
      <c r="G35" s="5">
        <v>7.3</v>
      </c>
      <c r="I35" s="5" t="s">
        <v>238</v>
      </c>
      <c r="J35">
        <f>Таблица2[[#This Row],[GDP per capita (USD)]] - B$41</f>
        <v>10389.815789473687</v>
      </c>
      <c r="K35">
        <f>Таблица2[[#This Row],[  Life expectancy]] - C$41</f>
        <v>2.2157894736841968</v>
      </c>
      <c r="L35">
        <f>Таблица2[[#This Row],[  Employment rate]] - D$41</f>
        <v>6.3421052631578902</v>
      </c>
      <c r="M35">
        <f>Таблица2[[#This Row],[  Quality of support network]] - E$41</f>
        <v>2.9210526315789451</v>
      </c>
      <c r="N35">
        <f>Таблица2[[#This Row],[  Feeling safe walking alone at night]] - F$41</f>
        <v>5.1578947368421098</v>
      </c>
      <c r="O35">
        <f>Таблица2[[#This Row],[  Life satisfaction]] - G$41</f>
        <v>0.61315789473684035</v>
      </c>
    </row>
    <row r="36" spans="1:15" x14ac:dyDescent="0.25">
      <c r="A36" s="4" t="s">
        <v>241</v>
      </c>
      <c r="B36">
        <v>105669</v>
      </c>
      <c r="C36" s="5">
        <v>84</v>
      </c>
      <c r="D36" s="5">
        <v>80</v>
      </c>
      <c r="E36" s="5">
        <v>94</v>
      </c>
      <c r="F36" s="2">
        <v>86</v>
      </c>
      <c r="G36" s="4">
        <v>7.5</v>
      </c>
      <c r="I36" s="4" t="s">
        <v>241</v>
      </c>
      <c r="J36">
        <f>Таблица2[[#This Row],[GDP per capita (USD)]] - B$41</f>
        <v>57529.815789473687</v>
      </c>
      <c r="K36">
        <f>Таблица2[[#This Row],[  Life expectancy]] - C$41</f>
        <v>3.0157894736841939</v>
      </c>
      <c r="L36">
        <f>Таблица2[[#This Row],[  Employment rate]] - D$41</f>
        <v>11.34210526315789</v>
      </c>
      <c r="M36">
        <f>Таблица2[[#This Row],[  Quality of support network]] - E$41</f>
        <v>2.9210526315789451</v>
      </c>
      <c r="N36">
        <f>Таблица2[[#This Row],[  Feeling safe walking alone at night]] - F$41</f>
        <v>12.15789473684211</v>
      </c>
      <c r="O36">
        <f>Таблица2[[#This Row],[  Life satisfaction]] - G$41</f>
        <v>0.81315789473684053</v>
      </c>
    </row>
    <row r="37" spans="1:15" x14ac:dyDescent="0.25">
      <c r="A37" s="5" t="s">
        <v>245</v>
      </c>
      <c r="B37">
        <v>12765</v>
      </c>
      <c r="C37" s="5">
        <v>78.599999999999994</v>
      </c>
      <c r="D37" s="5">
        <v>48</v>
      </c>
      <c r="E37" s="5">
        <v>85</v>
      </c>
      <c r="F37" s="3">
        <v>59</v>
      </c>
      <c r="G37" s="5">
        <v>4.9000000000000004</v>
      </c>
      <c r="I37" s="5" t="s">
        <v>245</v>
      </c>
      <c r="J37">
        <f>Таблица2[[#This Row],[GDP per capita (USD)]] - B$41</f>
        <v>-35374.184210526313</v>
      </c>
      <c r="K37">
        <f>Таблица2[[#This Row],[  Life expectancy]] - C$41</f>
        <v>-2.3842105263158118</v>
      </c>
      <c r="L37">
        <f>Таблица2[[#This Row],[  Employment rate]] - D$41</f>
        <v>-20.65789473684211</v>
      </c>
      <c r="M37">
        <f>Таблица2[[#This Row],[  Quality of support network]] - E$41</f>
        <v>-6.0789473684210549</v>
      </c>
      <c r="N37">
        <f>Таблица2[[#This Row],[  Feeling safe walking alone at night]] - F$41</f>
        <v>-14.84210526315789</v>
      </c>
      <c r="O37">
        <f>Таблица2[[#This Row],[  Life satisfaction]] - G$41</f>
        <v>-1.7868421052631591</v>
      </c>
    </row>
    <row r="38" spans="1:15" x14ac:dyDescent="0.25">
      <c r="A38" s="4" t="s">
        <v>252</v>
      </c>
      <c r="B38">
        <v>51075</v>
      </c>
      <c r="C38" s="5">
        <v>81.3</v>
      </c>
      <c r="D38" s="5">
        <v>75</v>
      </c>
      <c r="E38" s="5">
        <v>93</v>
      </c>
      <c r="F38" s="2">
        <v>78</v>
      </c>
      <c r="G38" s="4">
        <v>6.8</v>
      </c>
      <c r="I38" s="4" t="s">
        <v>252</v>
      </c>
      <c r="J38">
        <f>Таблица2[[#This Row],[GDP per capita (USD)]] - B$41</f>
        <v>2935.8157894736869</v>
      </c>
      <c r="K38">
        <f>Таблица2[[#This Row],[  Life expectancy]] - C$41</f>
        <v>0.31578947368419108</v>
      </c>
      <c r="L38">
        <f>Таблица2[[#This Row],[  Employment rate]] - D$41</f>
        <v>6.3421052631578902</v>
      </c>
      <c r="M38">
        <f>Таблица2[[#This Row],[  Quality of support network]] - E$41</f>
        <v>1.9210526315789451</v>
      </c>
      <c r="N38">
        <f>Таблица2[[#This Row],[  Feeling safe walking alone at night]] - F$41</f>
        <v>4.1578947368421098</v>
      </c>
      <c r="O38">
        <f>Таблица2[[#This Row],[  Life satisfaction]] - G$41</f>
        <v>0.11315789473684035</v>
      </c>
    </row>
    <row r="39" spans="1:15" x14ac:dyDescent="0.25">
      <c r="A39" s="7" t="s">
        <v>256</v>
      </c>
      <c r="B39">
        <v>85373</v>
      </c>
      <c r="C39" s="7">
        <v>78.900000000000006</v>
      </c>
      <c r="D39" s="7">
        <v>67</v>
      </c>
      <c r="E39" s="7">
        <v>94</v>
      </c>
      <c r="F39" s="8">
        <v>78</v>
      </c>
      <c r="G39" s="7">
        <v>7</v>
      </c>
      <c r="I39" s="7" t="s">
        <v>256</v>
      </c>
      <c r="J39">
        <f>Таблица2[[#This Row],[GDP per capita (USD)]] - B$41</f>
        <v>37233.815789473687</v>
      </c>
      <c r="K39">
        <f>Таблица2[[#This Row],[  Life expectancy]] - C$41</f>
        <v>-2.0842105263158004</v>
      </c>
      <c r="L39">
        <f>Таблица2[[#This Row],[  Employment rate]] - D$41</f>
        <v>-1.6578947368421098</v>
      </c>
      <c r="M39">
        <f>Таблица2[[#This Row],[  Quality of support network]] - E$41</f>
        <v>2.9210526315789451</v>
      </c>
      <c r="N39">
        <f>Таблица2[[#This Row],[  Feeling safe walking alone at night]] - F$41</f>
        <v>4.1578947368421098</v>
      </c>
      <c r="O39">
        <f>Таблица2[[#This Row],[  Life satisfaction]] - G$41</f>
        <v>0.31315789473684053</v>
      </c>
    </row>
    <row r="41" spans="1:15" x14ac:dyDescent="0.25">
      <c r="A41" t="s">
        <v>260</v>
      </c>
      <c r="B41">
        <f>AVERAGE(Таблица2[GDP per capita (USD)])</f>
        <v>48139.184210526313</v>
      </c>
      <c r="C41">
        <f>AVERAGE(Таблица2[[  Life expectancy]])</f>
        <v>80.984210526315806</v>
      </c>
      <c r="D41">
        <f>AVERAGE(Таблица2[[  Employment rate]])</f>
        <v>68.65789473684211</v>
      </c>
      <c r="E41">
        <f>AVERAGE(Таблица2[[  Quality of support network]])</f>
        <v>91.078947368421055</v>
      </c>
      <c r="F41">
        <f>AVERAGE(Таблица2[[  Feeling safe walking alone at night]])</f>
        <v>73.84210526315789</v>
      </c>
      <c r="G41">
        <f>AVERAGE(Таблица2[[  Life satisfaction]])</f>
        <v>6.6868421052631595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2C2E9-A770-4CF2-A902-B5869429A2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better-life-index-2024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2025-11-15T09:24:49Z</dcterms:modified>
</cp:coreProperties>
</file>