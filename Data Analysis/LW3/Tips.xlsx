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ithub\studies\Data Analysis\LW3\"/>
    </mc:Choice>
  </mc:AlternateContent>
  <xr:revisionPtr revIDLastSave="0" documentId="13_ncr:1_{ED94A8DC-E037-4FA7-9505-180F9B86A0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p" sheetId="2" r:id="rId1"/>
    <sheet name="Лист1" sheetId="1" r:id="rId2"/>
  </sheets>
  <definedNames>
    <definedName name="ExternalData_1" localSheetId="0" hidden="1">tip!$A$1:$G$245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248" i="2" l="1"/>
  <c r="Y247" i="2"/>
  <c r="X248" i="2"/>
  <c r="S255" i="2"/>
  <c r="S253" i="2"/>
  <c r="S254" i="2"/>
  <c r="V248" i="2"/>
  <c r="V247" i="2"/>
  <c r="S251" i="2"/>
  <c r="S249" i="2"/>
  <c r="S248" i="2"/>
  <c r="S247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P5" i="2"/>
  <c r="P2" i="2"/>
  <c r="P3" i="2"/>
  <c r="P4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J248" i="2"/>
  <c r="S13" i="2" s="1"/>
  <c r="T13" i="2" s="1"/>
  <c r="J247" i="2"/>
  <c r="N13" i="2" s="1"/>
  <c r="O13" i="2" s="1"/>
  <c r="N187" i="2" l="1"/>
  <c r="O187" i="2" s="1"/>
  <c r="N135" i="2"/>
  <c r="O135" i="2" s="1"/>
  <c r="N85" i="2"/>
  <c r="O85" i="2" s="1"/>
  <c r="N2" i="2"/>
  <c r="O2" i="2" s="1"/>
  <c r="N202" i="2"/>
  <c r="O202" i="2" s="1"/>
  <c r="N168" i="2"/>
  <c r="O168" i="2" s="1"/>
  <c r="N134" i="2"/>
  <c r="O134" i="2" s="1"/>
  <c r="N84" i="2"/>
  <c r="O84" i="2" s="1"/>
  <c r="N228" i="2"/>
  <c r="O228" i="2" s="1"/>
  <c r="N201" i="2"/>
  <c r="O201" i="2" s="1"/>
  <c r="N175" i="2"/>
  <c r="O175" i="2" s="1"/>
  <c r="N150" i="2"/>
  <c r="O150" i="2" s="1"/>
  <c r="N242" i="2"/>
  <c r="O242" i="2" s="1"/>
  <c r="N232" i="2"/>
  <c r="O232" i="2" s="1"/>
  <c r="N224" i="2"/>
  <c r="O224" i="2" s="1"/>
  <c r="N216" i="2"/>
  <c r="O216" i="2" s="1"/>
  <c r="N207" i="2"/>
  <c r="O207" i="2" s="1"/>
  <c r="N199" i="2"/>
  <c r="O199" i="2" s="1"/>
  <c r="N189" i="2"/>
  <c r="O189" i="2" s="1"/>
  <c r="N181" i="2"/>
  <c r="O181" i="2" s="1"/>
  <c r="N172" i="2"/>
  <c r="O172" i="2" s="1"/>
  <c r="N164" i="2"/>
  <c r="O164" i="2" s="1"/>
  <c r="N156" i="2"/>
  <c r="O156" i="2" s="1"/>
  <c r="N146" i="2"/>
  <c r="O146" i="2" s="1"/>
  <c r="N138" i="2"/>
  <c r="O138" i="2" s="1"/>
  <c r="N129" i="2"/>
  <c r="O129" i="2" s="1"/>
  <c r="N121" i="2"/>
  <c r="O121" i="2" s="1"/>
  <c r="N111" i="2"/>
  <c r="O111" i="2" s="1"/>
  <c r="N99" i="2"/>
  <c r="O99" i="2" s="1"/>
  <c r="N88" i="2"/>
  <c r="O88" i="2" s="1"/>
  <c r="N77" i="2"/>
  <c r="O77" i="2" s="1"/>
  <c r="N64" i="2"/>
  <c r="O64" i="2" s="1"/>
  <c r="N51" i="2"/>
  <c r="O51" i="2" s="1"/>
  <c r="N36" i="2"/>
  <c r="O36" i="2" s="1"/>
  <c r="N23" i="2"/>
  <c r="O23" i="2" s="1"/>
  <c r="N12" i="2"/>
  <c r="O12" i="2" s="1"/>
  <c r="N240" i="2"/>
  <c r="O240" i="2" s="1"/>
  <c r="N214" i="2"/>
  <c r="O214" i="2" s="1"/>
  <c r="N206" i="2"/>
  <c r="O206" i="2" s="1"/>
  <c r="N196" i="2"/>
  <c r="O196" i="2" s="1"/>
  <c r="N180" i="2"/>
  <c r="O180" i="2" s="1"/>
  <c r="N145" i="2"/>
  <c r="O145" i="2" s="1"/>
  <c r="N136" i="2"/>
  <c r="O136" i="2" s="1"/>
  <c r="N128" i="2"/>
  <c r="O128" i="2" s="1"/>
  <c r="N120" i="2"/>
  <c r="O120" i="2" s="1"/>
  <c r="N109" i="2"/>
  <c r="O109" i="2" s="1"/>
  <c r="N98" i="2"/>
  <c r="O98" i="2" s="1"/>
  <c r="N87" i="2"/>
  <c r="O87" i="2" s="1"/>
  <c r="N73" i="2"/>
  <c r="O73" i="2" s="1"/>
  <c r="N63" i="2"/>
  <c r="O63" i="2" s="1"/>
  <c r="N48" i="2"/>
  <c r="O48" i="2" s="1"/>
  <c r="N35" i="2"/>
  <c r="O35" i="2" s="1"/>
  <c r="N22" i="2"/>
  <c r="O22" i="2" s="1"/>
  <c r="N9" i="2"/>
  <c r="O9" i="2" s="1"/>
  <c r="N231" i="2"/>
  <c r="O231" i="2" s="1"/>
  <c r="N171" i="2"/>
  <c r="O171" i="2" s="1"/>
  <c r="N213" i="2"/>
  <c r="O213" i="2" s="1"/>
  <c r="N144" i="2"/>
  <c r="O144" i="2" s="1"/>
  <c r="N97" i="2"/>
  <c r="O97" i="2" s="1"/>
  <c r="N21" i="2"/>
  <c r="O21" i="2" s="1"/>
  <c r="N153" i="2"/>
  <c r="O153" i="2" s="1"/>
  <c r="N238" i="2"/>
  <c r="O238" i="2" s="1"/>
  <c r="N204" i="2"/>
  <c r="O204" i="2" s="1"/>
  <c r="N178" i="2"/>
  <c r="O178" i="2" s="1"/>
  <c r="N152" i="2"/>
  <c r="O152" i="2" s="1"/>
  <c r="N106" i="2"/>
  <c r="O106" i="2" s="1"/>
  <c r="N237" i="2"/>
  <c r="O237" i="2" s="1"/>
  <c r="N194" i="2"/>
  <c r="O194" i="2" s="1"/>
  <c r="N151" i="2"/>
  <c r="O151" i="2" s="1"/>
  <c r="N94" i="2"/>
  <c r="O94" i="2" s="1"/>
  <c r="N43" i="2"/>
  <c r="O43" i="2" s="1"/>
  <c r="N188" i="2"/>
  <c r="O188" i="2" s="1"/>
  <c r="N222" i="2"/>
  <c r="O222" i="2" s="1"/>
  <c r="N170" i="2"/>
  <c r="O170" i="2" s="1"/>
  <c r="N127" i="2"/>
  <c r="O127" i="2" s="1"/>
  <c r="N72" i="2"/>
  <c r="O72" i="2" s="1"/>
  <c r="N45" i="2"/>
  <c r="O45" i="2" s="1"/>
  <c r="N34" i="2"/>
  <c r="O34" i="2" s="1"/>
  <c r="N5" i="2"/>
  <c r="O5" i="2" s="1"/>
  <c r="N220" i="2"/>
  <c r="O220" i="2" s="1"/>
  <c r="N177" i="2"/>
  <c r="O177" i="2" s="1"/>
  <c r="N142" i="2"/>
  <c r="O142" i="2" s="1"/>
  <c r="N116" i="2"/>
  <c r="O116" i="2" s="1"/>
  <c r="N57" i="2"/>
  <c r="O57" i="2" s="1"/>
  <c r="N19" i="2"/>
  <c r="O19" i="2" s="1"/>
  <c r="N236" i="2"/>
  <c r="O236" i="2" s="1"/>
  <c r="N210" i="2"/>
  <c r="O210" i="2" s="1"/>
  <c r="N184" i="2"/>
  <c r="O184" i="2" s="1"/>
  <c r="N166" i="2"/>
  <c r="O166" i="2" s="1"/>
  <c r="N141" i="2"/>
  <c r="O141" i="2" s="1"/>
  <c r="N132" i="2"/>
  <c r="O132" i="2" s="1"/>
  <c r="N123" i="2"/>
  <c r="O123" i="2" s="1"/>
  <c r="N115" i="2"/>
  <c r="O115" i="2" s="1"/>
  <c r="N104" i="2"/>
  <c r="O104" i="2" s="1"/>
  <c r="N93" i="2"/>
  <c r="O93" i="2" s="1"/>
  <c r="N79" i="2"/>
  <c r="O79" i="2" s="1"/>
  <c r="N66" i="2"/>
  <c r="O66" i="2" s="1"/>
  <c r="N55" i="2"/>
  <c r="O55" i="2" s="1"/>
  <c r="N42" i="2"/>
  <c r="O42" i="2" s="1"/>
  <c r="N29" i="2"/>
  <c r="O29" i="2" s="1"/>
  <c r="N15" i="2"/>
  <c r="O15" i="2" s="1"/>
  <c r="N223" i="2"/>
  <c r="O223" i="2" s="1"/>
  <c r="N163" i="2"/>
  <c r="O163" i="2" s="1"/>
  <c r="N230" i="2"/>
  <c r="O230" i="2" s="1"/>
  <c r="N195" i="2"/>
  <c r="O195" i="2" s="1"/>
  <c r="N160" i="2"/>
  <c r="O160" i="2" s="1"/>
  <c r="N117" i="2"/>
  <c r="O117" i="2" s="1"/>
  <c r="N58" i="2"/>
  <c r="O58" i="2" s="1"/>
  <c r="N229" i="2"/>
  <c r="O229" i="2" s="1"/>
  <c r="N211" i="2"/>
  <c r="O211" i="2" s="1"/>
  <c r="N186" i="2"/>
  <c r="O186" i="2" s="1"/>
  <c r="N159" i="2"/>
  <c r="O159" i="2" s="1"/>
  <c r="N124" i="2"/>
  <c r="O124" i="2" s="1"/>
  <c r="N105" i="2"/>
  <c r="O105" i="2" s="1"/>
  <c r="N70" i="2"/>
  <c r="O70" i="2" s="1"/>
  <c r="N30" i="2"/>
  <c r="O30" i="2" s="1"/>
  <c r="N244" i="2"/>
  <c r="O244" i="2" s="1"/>
  <c r="N218" i="2"/>
  <c r="O218" i="2" s="1"/>
  <c r="N193" i="2"/>
  <c r="O193" i="2" s="1"/>
  <c r="N158" i="2"/>
  <c r="O158" i="2" s="1"/>
  <c r="N243" i="2"/>
  <c r="O243" i="2" s="1"/>
  <c r="N235" i="2"/>
  <c r="O235" i="2" s="1"/>
  <c r="N225" i="2"/>
  <c r="O225" i="2" s="1"/>
  <c r="N217" i="2"/>
  <c r="O217" i="2" s="1"/>
  <c r="N208" i="2"/>
  <c r="O208" i="2" s="1"/>
  <c r="N200" i="2"/>
  <c r="O200" i="2" s="1"/>
  <c r="N192" i="2"/>
  <c r="O192" i="2" s="1"/>
  <c r="N182" i="2"/>
  <c r="O182" i="2" s="1"/>
  <c r="N174" i="2"/>
  <c r="O174" i="2" s="1"/>
  <c r="N165" i="2"/>
  <c r="O165" i="2" s="1"/>
  <c r="N157" i="2"/>
  <c r="O157" i="2" s="1"/>
  <c r="N148" i="2"/>
  <c r="O148" i="2" s="1"/>
  <c r="N139" i="2"/>
  <c r="O139" i="2" s="1"/>
  <c r="N130" i="2"/>
  <c r="O130" i="2" s="1"/>
  <c r="N122" i="2"/>
  <c r="O122" i="2" s="1"/>
  <c r="N112" i="2"/>
  <c r="O112" i="2" s="1"/>
  <c r="N103" i="2"/>
  <c r="O103" i="2" s="1"/>
  <c r="N91" i="2"/>
  <c r="O91" i="2" s="1"/>
  <c r="N78" i="2"/>
  <c r="O78" i="2" s="1"/>
  <c r="N65" i="2"/>
  <c r="O65" i="2" s="1"/>
  <c r="N52" i="2"/>
  <c r="O52" i="2" s="1"/>
  <c r="N41" i="2"/>
  <c r="O41" i="2" s="1"/>
  <c r="N27" i="2"/>
  <c r="O27" i="2" s="1"/>
  <c r="S9" i="2"/>
  <c r="T9" i="2" s="1"/>
  <c r="S213" i="2"/>
  <c r="T213" i="2" s="1"/>
  <c r="S181" i="2"/>
  <c r="T181" i="2" s="1"/>
  <c r="S148" i="2"/>
  <c r="T148" i="2" s="1"/>
  <c r="S117" i="2"/>
  <c r="T117" i="2" s="1"/>
  <c r="S84" i="2"/>
  <c r="T84" i="2" s="1"/>
  <c r="S51" i="2"/>
  <c r="T51" i="2" s="1"/>
  <c r="S19" i="2"/>
  <c r="T19" i="2" s="1"/>
  <c r="N8" i="2"/>
  <c r="O8" i="2" s="1"/>
  <c r="N14" i="2"/>
  <c r="O14" i="2" s="1"/>
  <c r="N20" i="2"/>
  <c r="O20" i="2" s="1"/>
  <c r="N26" i="2"/>
  <c r="O26" i="2" s="1"/>
  <c r="N32" i="2"/>
  <c r="O32" i="2" s="1"/>
  <c r="N38" i="2"/>
  <c r="O38" i="2" s="1"/>
  <c r="N44" i="2"/>
  <c r="O44" i="2" s="1"/>
  <c r="N50" i="2"/>
  <c r="O50" i="2" s="1"/>
  <c r="N56" i="2"/>
  <c r="O56" i="2" s="1"/>
  <c r="N62" i="2"/>
  <c r="O62" i="2" s="1"/>
  <c r="N68" i="2"/>
  <c r="O68" i="2" s="1"/>
  <c r="N74" i="2"/>
  <c r="O74" i="2" s="1"/>
  <c r="N80" i="2"/>
  <c r="O80" i="2" s="1"/>
  <c r="N86" i="2"/>
  <c r="O86" i="2" s="1"/>
  <c r="N6" i="2"/>
  <c r="O6" i="2" s="1"/>
  <c r="N7" i="2"/>
  <c r="O7" i="2" s="1"/>
  <c r="N3" i="2"/>
  <c r="O3" i="2" s="1"/>
  <c r="N10" i="2"/>
  <c r="O10" i="2" s="1"/>
  <c r="N17" i="2"/>
  <c r="O17" i="2" s="1"/>
  <c r="N24" i="2"/>
  <c r="O24" i="2" s="1"/>
  <c r="N31" i="2"/>
  <c r="O31" i="2" s="1"/>
  <c r="N39" i="2"/>
  <c r="O39" i="2" s="1"/>
  <c r="N46" i="2"/>
  <c r="O46" i="2" s="1"/>
  <c r="N53" i="2"/>
  <c r="O53" i="2" s="1"/>
  <c r="N60" i="2"/>
  <c r="O60" i="2" s="1"/>
  <c r="N67" i="2"/>
  <c r="O67" i="2" s="1"/>
  <c r="N75" i="2"/>
  <c r="O75" i="2" s="1"/>
  <c r="N82" i="2"/>
  <c r="O82" i="2" s="1"/>
  <c r="N89" i="2"/>
  <c r="O89" i="2" s="1"/>
  <c r="N95" i="2"/>
  <c r="O95" i="2" s="1"/>
  <c r="N101" i="2"/>
  <c r="O101" i="2" s="1"/>
  <c r="N107" i="2"/>
  <c r="O107" i="2" s="1"/>
  <c r="N113" i="2"/>
  <c r="O113" i="2" s="1"/>
  <c r="N119" i="2"/>
  <c r="O119" i="2" s="1"/>
  <c r="N125" i="2"/>
  <c r="O125" i="2" s="1"/>
  <c r="N131" i="2"/>
  <c r="O131" i="2" s="1"/>
  <c r="N137" i="2"/>
  <c r="O137" i="2" s="1"/>
  <c r="N143" i="2"/>
  <c r="O143" i="2" s="1"/>
  <c r="N149" i="2"/>
  <c r="O149" i="2" s="1"/>
  <c r="N155" i="2"/>
  <c r="O155" i="2" s="1"/>
  <c r="N161" i="2"/>
  <c r="O161" i="2" s="1"/>
  <c r="N167" i="2"/>
  <c r="O167" i="2" s="1"/>
  <c r="N173" i="2"/>
  <c r="O173" i="2" s="1"/>
  <c r="N179" i="2"/>
  <c r="O179" i="2" s="1"/>
  <c r="N185" i="2"/>
  <c r="O185" i="2" s="1"/>
  <c r="N191" i="2"/>
  <c r="O191" i="2" s="1"/>
  <c r="N197" i="2"/>
  <c r="O197" i="2" s="1"/>
  <c r="N203" i="2"/>
  <c r="O203" i="2" s="1"/>
  <c r="N209" i="2"/>
  <c r="O209" i="2" s="1"/>
  <c r="N215" i="2"/>
  <c r="O215" i="2" s="1"/>
  <c r="N221" i="2"/>
  <c r="O221" i="2" s="1"/>
  <c r="N227" i="2"/>
  <c r="O227" i="2" s="1"/>
  <c r="N233" i="2"/>
  <c r="O233" i="2" s="1"/>
  <c r="N239" i="2"/>
  <c r="O239" i="2" s="1"/>
  <c r="N245" i="2"/>
  <c r="O245" i="2" s="1"/>
  <c r="N4" i="2"/>
  <c r="O4" i="2" s="1"/>
  <c r="N11" i="2"/>
  <c r="O11" i="2" s="1"/>
  <c r="N18" i="2"/>
  <c r="O18" i="2" s="1"/>
  <c r="N25" i="2"/>
  <c r="O25" i="2" s="1"/>
  <c r="N33" i="2"/>
  <c r="O33" i="2" s="1"/>
  <c r="N40" i="2"/>
  <c r="O40" i="2" s="1"/>
  <c r="N47" i="2"/>
  <c r="O47" i="2" s="1"/>
  <c r="N54" i="2"/>
  <c r="O54" i="2" s="1"/>
  <c r="N61" i="2"/>
  <c r="O61" i="2" s="1"/>
  <c r="N69" i="2"/>
  <c r="O69" i="2" s="1"/>
  <c r="N76" i="2"/>
  <c r="O76" i="2" s="1"/>
  <c r="N83" i="2"/>
  <c r="O83" i="2" s="1"/>
  <c r="N90" i="2"/>
  <c r="O90" i="2" s="1"/>
  <c r="N96" i="2"/>
  <c r="O96" i="2" s="1"/>
  <c r="N102" i="2"/>
  <c r="O102" i="2" s="1"/>
  <c r="N108" i="2"/>
  <c r="O108" i="2" s="1"/>
  <c r="N114" i="2"/>
  <c r="O114" i="2" s="1"/>
  <c r="N241" i="2"/>
  <c r="O241" i="2" s="1"/>
  <c r="N234" i="2"/>
  <c r="O234" i="2" s="1"/>
  <c r="N226" i="2"/>
  <c r="O226" i="2" s="1"/>
  <c r="N219" i="2"/>
  <c r="O219" i="2" s="1"/>
  <c r="N212" i="2"/>
  <c r="O212" i="2" s="1"/>
  <c r="N205" i="2"/>
  <c r="O205" i="2" s="1"/>
  <c r="N198" i="2"/>
  <c r="O198" i="2" s="1"/>
  <c r="N190" i="2"/>
  <c r="O190" i="2" s="1"/>
  <c r="N183" i="2"/>
  <c r="O183" i="2" s="1"/>
  <c r="N176" i="2"/>
  <c r="O176" i="2" s="1"/>
  <c r="N169" i="2"/>
  <c r="O169" i="2" s="1"/>
  <c r="N162" i="2"/>
  <c r="O162" i="2" s="1"/>
  <c r="N154" i="2"/>
  <c r="O154" i="2" s="1"/>
  <c r="N147" i="2"/>
  <c r="O147" i="2" s="1"/>
  <c r="N140" i="2"/>
  <c r="O140" i="2" s="1"/>
  <c r="N133" i="2"/>
  <c r="O133" i="2" s="1"/>
  <c r="N126" i="2"/>
  <c r="O126" i="2" s="1"/>
  <c r="N118" i="2"/>
  <c r="O118" i="2" s="1"/>
  <c r="N110" i="2"/>
  <c r="O110" i="2" s="1"/>
  <c r="N100" i="2"/>
  <c r="O100" i="2" s="1"/>
  <c r="N92" i="2"/>
  <c r="O92" i="2" s="1"/>
  <c r="N81" i="2"/>
  <c r="O81" i="2" s="1"/>
  <c r="N71" i="2"/>
  <c r="O71" i="2" s="1"/>
  <c r="N59" i="2"/>
  <c r="O59" i="2" s="1"/>
  <c r="N49" i="2"/>
  <c r="O49" i="2" s="1"/>
  <c r="N37" i="2"/>
  <c r="O37" i="2" s="1"/>
  <c r="N28" i="2"/>
  <c r="O28" i="2" s="1"/>
  <c r="N16" i="2"/>
  <c r="O16" i="2" s="1"/>
  <c r="S240" i="2"/>
  <c r="T240" i="2" s="1"/>
  <c r="S208" i="2"/>
  <c r="T208" i="2" s="1"/>
  <c r="S175" i="2"/>
  <c r="T175" i="2" s="1"/>
  <c r="S144" i="2"/>
  <c r="T144" i="2" s="1"/>
  <c r="S111" i="2"/>
  <c r="T111" i="2" s="1"/>
  <c r="S78" i="2"/>
  <c r="T78" i="2" s="1"/>
  <c r="S46" i="2"/>
  <c r="T46" i="2" s="1"/>
  <c r="S245" i="2"/>
  <c r="T245" i="2" s="1"/>
  <c r="S8" i="2"/>
  <c r="T8" i="2" s="1"/>
  <c r="S14" i="2"/>
  <c r="T14" i="2" s="1"/>
  <c r="S20" i="2"/>
  <c r="T20" i="2" s="1"/>
  <c r="S26" i="2"/>
  <c r="T26" i="2" s="1"/>
  <c r="S32" i="2"/>
  <c r="T32" i="2" s="1"/>
  <c r="S38" i="2"/>
  <c r="T38" i="2" s="1"/>
  <c r="S44" i="2"/>
  <c r="T44" i="2" s="1"/>
  <c r="S50" i="2"/>
  <c r="T50" i="2" s="1"/>
  <c r="S56" i="2"/>
  <c r="T56" i="2" s="1"/>
  <c r="S62" i="2"/>
  <c r="T62" i="2" s="1"/>
  <c r="S68" i="2"/>
  <c r="T68" i="2" s="1"/>
  <c r="S74" i="2"/>
  <c r="T74" i="2" s="1"/>
  <c r="S80" i="2"/>
  <c r="T80" i="2" s="1"/>
  <c r="S86" i="2"/>
  <c r="T86" i="2" s="1"/>
  <c r="S92" i="2"/>
  <c r="T92" i="2" s="1"/>
  <c r="S98" i="2"/>
  <c r="T98" i="2" s="1"/>
  <c r="S104" i="2"/>
  <c r="T104" i="2" s="1"/>
  <c r="S110" i="2"/>
  <c r="T110" i="2" s="1"/>
  <c r="S116" i="2"/>
  <c r="T116" i="2" s="1"/>
  <c r="S122" i="2"/>
  <c r="T122" i="2" s="1"/>
  <c r="S128" i="2"/>
  <c r="T128" i="2" s="1"/>
  <c r="S134" i="2"/>
  <c r="T134" i="2" s="1"/>
  <c r="S140" i="2"/>
  <c r="T140" i="2" s="1"/>
  <c r="S146" i="2"/>
  <c r="T146" i="2" s="1"/>
  <c r="S152" i="2"/>
  <c r="T152" i="2" s="1"/>
  <c r="S158" i="2"/>
  <c r="T158" i="2" s="1"/>
  <c r="S164" i="2"/>
  <c r="T164" i="2" s="1"/>
  <c r="S170" i="2"/>
  <c r="T170" i="2" s="1"/>
  <c r="S176" i="2"/>
  <c r="T176" i="2" s="1"/>
  <c r="S182" i="2"/>
  <c r="T182" i="2" s="1"/>
  <c r="S188" i="2"/>
  <c r="T188" i="2" s="1"/>
  <c r="S194" i="2"/>
  <c r="T194" i="2" s="1"/>
  <c r="S200" i="2"/>
  <c r="T200" i="2" s="1"/>
  <c r="S206" i="2"/>
  <c r="T206" i="2" s="1"/>
  <c r="S212" i="2"/>
  <c r="T212" i="2" s="1"/>
  <c r="S218" i="2"/>
  <c r="T218" i="2" s="1"/>
  <c r="S224" i="2"/>
  <c r="T224" i="2" s="1"/>
  <c r="S230" i="2"/>
  <c r="T230" i="2" s="1"/>
  <c r="S236" i="2"/>
  <c r="T236" i="2" s="1"/>
  <c r="S242" i="2"/>
  <c r="T242" i="2" s="1"/>
  <c r="S5" i="2"/>
  <c r="T5" i="2" s="1"/>
  <c r="S11" i="2"/>
  <c r="T11" i="2" s="1"/>
  <c r="S17" i="2"/>
  <c r="T17" i="2" s="1"/>
  <c r="S23" i="2"/>
  <c r="T23" i="2" s="1"/>
  <c r="S29" i="2"/>
  <c r="T29" i="2" s="1"/>
  <c r="S35" i="2"/>
  <c r="T35" i="2" s="1"/>
  <c r="S41" i="2"/>
  <c r="T41" i="2" s="1"/>
  <c r="S47" i="2"/>
  <c r="T47" i="2" s="1"/>
  <c r="S53" i="2"/>
  <c r="T53" i="2" s="1"/>
  <c r="S59" i="2"/>
  <c r="T59" i="2" s="1"/>
  <c r="S65" i="2"/>
  <c r="T65" i="2" s="1"/>
  <c r="S71" i="2"/>
  <c r="T71" i="2" s="1"/>
  <c r="S77" i="2"/>
  <c r="T77" i="2" s="1"/>
  <c r="S83" i="2"/>
  <c r="T83" i="2" s="1"/>
  <c r="S89" i="2"/>
  <c r="T89" i="2" s="1"/>
  <c r="S95" i="2"/>
  <c r="T95" i="2" s="1"/>
  <c r="S101" i="2"/>
  <c r="T101" i="2" s="1"/>
  <c r="S107" i="2"/>
  <c r="T107" i="2" s="1"/>
  <c r="S113" i="2"/>
  <c r="T113" i="2" s="1"/>
  <c r="S119" i="2"/>
  <c r="T119" i="2" s="1"/>
  <c r="S125" i="2"/>
  <c r="T125" i="2" s="1"/>
  <c r="S131" i="2"/>
  <c r="T131" i="2" s="1"/>
  <c r="S137" i="2"/>
  <c r="T137" i="2" s="1"/>
  <c r="S143" i="2"/>
  <c r="T143" i="2" s="1"/>
  <c r="S149" i="2"/>
  <c r="T149" i="2" s="1"/>
  <c r="S155" i="2"/>
  <c r="T155" i="2" s="1"/>
  <c r="S161" i="2"/>
  <c r="T161" i="2" s="1"/>
  <c r="S167" i="2"/>
  <c r="T167" i="2" s="1"/>
  <c r="S173" i="2"/>
  <c r="T173" i="2" s="1"/>
  <c r="S179" i="2"/>
  <c r="T179" i="2" s="1"/>
  <c r="S185" i="2"/>
  <c r="T185" i="2" s="1"/>
  <c r="S191" i="2"/>
  <c r="T191" i="2" s="1"/>
  <c r="S197" i="2"/>
  <c r="T197" i="2" s="1"/>
  <c r="S203" i="2"/>
  <c r="T203" i="2" s="1"/>
  <c r="S209" i="2"/>
  <c r="T209" i="2" s="1"/>
  <c r="S215" i="2"/>
  <c r="T215" i="2" s="1"/>
  <c r="S221" i="2"/>
  <c r="T221" i="2" s="1"/>
  <c r="S227" i="2"/>
  <c r="T227" i="2" s="1"/>
  <c r="S233" i="2"/>
  <c r="T233" i="2" s="1"/>
  <c r="S239" i="2"/>
  <c r="T239" i="2" s="1"/>
  <c r="S2" i="2"/>
  <c r="T2" i="2" s="1"/>
  <c r="S7" i="2"/>
  <c r="T7" i="2" s="1"/>
  <c r="S16" i="2"/>
  <c r="T16" i="2" s="1"/>
  <c r="S25" i="2"/>
  <c r="T25" i="2" s="1"/>
  <c r="S34" i="2"/>
  <c r="T34" i="2" s="1"/>
  <c r="S43" i="2"/>
  <c r="T43" i="2" s="1"/>
  <c r="S52" i="2"/>
  <c r="T52" i="2" s="1"/>
  <c r="S61" i="2"/>
  <c r="T61" i="2" s="1"/>
  <c r="S70" i="2"/>
  <c r="T70" i="2" s="1"/>
  <c r="S79" i="2"/>
  <c r="T79" i="2" s="1"/>
  <c r="S88" i="2"/>
  <c r="T88" i="2" s="1"/>
  <c r="S97" i="2"/>
  <c r="T97" i="2" s="1"/>
  <c r="S106" i="2"/>
  <c r="T106" i="2" s="1"/>
  <c r="S115" i="2"/>
  <c r="T115" i="2" s="1"/>
  <c r="S124" i="2"/>
  <c r="T124" i="2" s="1"/>
  <c r="S133" i="2"/>
  <c r="T133" i="2" s="1"/>
  <c r="S142" i="2"/>
  <c r="T142" i="2" s="1"/>
  <c r="S151" i="2"/>
  <c r="T151" i="2" s="1"/>
  <c r="S160" i="2"/>
  <c r="T160" i="2" s="1"/>
  <c r="S169" i="2"/>
  <c r="T169" i="2" s="1"/>
  <c r="S178" i="2"/>
  <c r="T178" i="2" s="1"/>
  <c r="S187" i="2"/>
  <c r="T187" i="2" s="1"/>
  <c r="S196" i="2"/>
  <c r="T196" i="2" s="1"/>
  <c r="S205" i="2"/>
  <c r="T205" i="2" s="1"/>
  <c r="S214" i="2"/>
  <c r="T214" i="2" s="1"/>
  <c r="S223" i="2"/>
  <c r="T223" i="2" s="1"/>
  <c r="S232" i="2"/>
  <c r="T232" i="2" s="1"/>
  <c r="S241" i="2"/>
  <c r="T241" i="2" s="1"/>
  <c r="S10" i="2"/>
  <c r="T10" i="2" s="1"/>
  <c r="S21" i="2"/>
  <c r="T21" i="2" s="1"/>
  <c r="S31" i="2"/>
  <c r="T31" i="2" s="1"/>
  <c r="S42" i="2"/>
  <c r="T42" i="2" s="1"/>
  <c r="S54" i="2"/>
  <c r="T54" i="2" s="1"/>
  <c r="S64" i="2"/>
  <c r="T64" i="2" s="1"/>
  <c r="S75" i="2"/>
  <c r="T75" i="2" s="1"/>
  <c r="S85" i="2"/>
  <c r="T85" i="2" s="1"/>
  <c r="S96" i="2"/>
  <c r="T96" i="2" s="1"/>
  <c r="S108" i="2"/>
  <c r="T108" i="2" s="1"/>
  <c r="S118" i="2"/>
  <c r="T118" i="2" s="1"/>
  <c r="S129" i="2"/>
  <c r="T129" i="2" s="1"/>
  <c r="S139" i="2"/>
  <c r="T139" i="2" s="1"/>
  <c r="S150" i="2"/>
  <c r="T150" i="2" s="1"/>
  <c r="S162" i="2"/>
  <c r="T162" i="2" s="1"/>
  <c r="S172" i="2"/>
  <c r="T172" i="2" s="1"/>
  <c r="S183" i="2"/>
  <c r="T183" i="2" s="1"/>
  <c r="S193" i="2"/>
  <c r="T193" i="2" s="1"/>
  <c r="S204" i="2"/>
  <c r="T204" i="2" s="1"/>
  <c r="S216" i="2"/>
  <c r="T216" i="2" s="1"/>
  <c r="S226" i="2"/>
  <c r="T226" i="2" s="1"/>
  <c r="S237" i="2"/>
  <c r="T237" i="2" s="1"/>
  <c r="S12" i="2"/>
  <c r="T12" i="2" s="1"/>
  <c r="S22" i="2"/>
  <c r="T22" i="2" s="1"/>
  <c r="S33" i="2"/>
  <c r="T33" i="2" s="1"/>
  <c r="S45" i="2"/>
  <c r="T45" i="2" s="1"/>
  <c r="S55" i="2"/>
  <c r="T55" i="2" s="1"/>
  <c r="S66" i="2"/>
  <c r="T66" i="2" s="1"/>
  <c r="S76" i="2"/>
  <c r="T76" i="2" s="1"/>
  <c r="S87" i="2"/>
  <c r="T87" i="2" s="1"/>
  <c r="S99" i="2"/>
  <c r="T99" i="2" s="1"/>
  <c r="S109" i="2"/>
  <c r="T109" i="2" s="1"/>
  <c r="S120" i="2"/>
  <c r="T120" i="2" s="1"/>
  <c r="S130" i="2"/>
  <c r="T130" i="2" s="1"/>
  <c r="S141" i="2"/>
  <c r="T141" i="2" s="1"/>
  <c r="S153" i="2"/>
  <c r="T153" i="2" s="1"/>
  <c r="S163" i="2"/>
  <c r="T163" i="2" s="1"/>
  <c r="S174" i="2"/>
  <c r="T174" i="2" s="1"/>
  <c r="S184" i="2"/>
  <c r="T184" i="2" s="1"/>
  <c r="S195" i="2"/>
  <c r="T195" i="2" s="1"/>
  <c r="S207" i="2"/>
  <c r="T207" i="2" s="1"/>
  <c r="S217" i="2"/>
  <c r="T217" i="2" s="1"/>
  <c r="S228" i="2"/>
  <c r="T228" i="2" s="1"/>
  <c r="S238" i="2"/>
  <c r="T238" i="2" s="1"/>
  <c r="S4" i="2"/>
  <c r="T4" i="2" s="1"/>
  <c r="S15" i="2"/>
  <c r="T15" i="2" s="1"/>
  <c r="S27" i="2"/>
  <c r="T27" i="2" s="1"/>
  <c r="S37" i="2"/>
  <c r="T37" i="2" s="1"/>
  <c r="S48" i="2"/>
  <c r="T48" i="2" s="1"/>
  <c r="S58" i="2"/>
  <c r="T58" i="2" s="1"/>
  <c r="S69" i="2"/>
  <c r="T69" i="2" s="1"/>
  <c r="S81" i="2"/>
  <c r="T81" i="2" s="1"/>
  <c r="S91" i="2"/>
  <c r="T91" i="2" s="1"/>
  <c r="S102" i="2"/>
  <c r="T102" i="2" s="1"/>
  <c r="S112" i="2"/>
  <c r="T112" i="2" s="1"/>
  <c r="S123" i="2"/>
  <c r="T123" i="2" s="1"/>
  <c r="S135" i="2"/>
  <c r="T135" i="2" s="1"/>
  <c r="S145" i="2"/>
  <c r="T145" i="2" s="1"/>
  <c r="S156" i="2"/>
  <c r="T156" i="2" s="1"/>
  <c r="S166" i="2"/>
  <c r="T166" i="2" s="1"/>
  <c r="S177" i="2"/>
  <c r="T177" i="2" s="1"/>
  <c r="S189" i="2"/>
  <c r="T189" i="2" s="1"/>
  <c r="S199" i="2"/>
  <c r="T199" i="2" s="1"/>
  <c r="S210" i="2"/>
  <c r="T210" i="2" s="1"/>
  <c r="S220" i="2"/>
  <c r="T220" i="2" s="1"/>
  <c r="S231" i="2"/>
  <c r="T231" i="2" s="1"/>
  <c r="S243" i="2"/>
  <c r="T243" i="2" s="1"/>
  <c r="S6" i="2"/>
  <c r="T6" i="2" s="1"/>
  <c r="S18" i="2"/>
  <c r="T18" i="2" s="1"/>
  <c r="S28" i="2"/>
  <c r="T28" i="2" s="1"/>
  <c r="S39" i="2"/>
  <c r="T39" i="2" s="1"/>
  <c r="S49" i="2"/>
  <c r="T49" i="2" s="1"/>
  <c r="S60" i="2"/>
  <c r="T60" i="2" s="1"/>
  <c r="S72" i="2"/>
  <c r="T72" i="2" s="1"/>
  <c r="S82" i="2"/>
  <c r="T82" i="2" s="1"/>
  <c r="S93" i="2"/>
  <c r="T93" i="2" s="1"/>
  <c r="S103" i="2"/>
  <c r="T103" i="2" s="1"/>
  <c r="S114" i="2"/>
  <c r="T114" i="2" s="1"/>
  <c r="S126" i="2"/>
  <c r="T126" i="2" s="1"/>
  <c r="S136" i="2"/>
  <c r="T136" i="2" s="1"/>
  <c r="S147" i="2"/>
  <c r="T147" i="2" s="1"/>
  <c r="S157" i="2"/>
  <c r="T157" i="2" s="1"/>
  <c r="S168" i="2"/>
  <c r="T168" i="2" s="1"/>
  <c r="S180" i="2"/>
  <c r="T180" i="2" s="1"/>
  <c r="S190" i="2"/>
  <c r="T190" i="2" s="1"/>
  <c r="S201" i="2"/>
  <c r="T201" i="2" s="1"/>
  <c r="S211" i="2"/>
  <c r="T211" i="2" s="1"/>
  <c r="S222" i="2"/>
  <c r="T222" i="2" s="1"/>
  <c r="S234" i="2"/>
  <c r="T234" i="2" s="1"/>
  <c r="S244" i="2"/>
  <c r="T244" i="2" s="1"/>
  <c r="S235" i="2"/>
  <c r="T235" i="2" s="1"/>
  <c r="S202" i="2"/>
  <c r="T202" i="2" s="1"/>
  <c r="S171" i="2"/>
  <c r="T171" i="2" s="1"/>
  <c r="S138" i="2"/>
  <c r="T138" i="2" s="1"/>
  <c r="S105" i="2"/>
  <c r="T105" i="2" s="1"/>
  <c r="S73" i="2"/>
  <c r="T73" i="2" s="1"/>
  <c r="S198" i="2"/>
  <c r="T198" i="2" s="1"/>
  <c r="S165" i="2"/>
  <c r="T165" i="2" s="1"/>
  <c r="S132" i="2"/>
  <c r="T132" i="2" s="1"/>
  <c r="S100" i="2"/>
  <c r="T100" i="2" s="1"/>
  <c r="S67" i="2"/>
  <c r="T67" i="2" s="1"/>
  <c r="S3" i="2"/>
  <c r="T3" i="2" s="1"/>
  <c r="S225" i="2"/>
  <c r="T225" i="2" s="1"/>
  <c r="S192" i="2"/>
  <c r="T192" i="2" s="1"/>
  <c r="S159" i="2"/>
  <c r="T159" i="2" s="1"/>
  <c r="S127" i="2"/>
  <c r="T127" i="2" s="1"/>
  <c r="S94" i="2"/>
  <c r="T94" i="2" s="1"/>
  <c r="S63" i="2"/>
  <c r="T63" i="2" s="1"/>
  <c r="S30" i="2"/>
  <c r="T30" i="2" s="1"/>
  <c r="S40" i="2"/>
  <c r="T40" i="2" s="1"/>
  <c r="S229" i="2"/>
  <c r="T229" i="2" s="1"/>
  <c r="S36" i="2"/>
  <c r="T36" i="2" s="1"/>
  <c r="S219" i="2"/>
  <c r="T219" i="2" s="1"/>
  <c r="S186" i="2"/>
  <c r="T186" i="2" s="1"/>
  <c r="S154" i="2"/>
  <c r="T154" i="2" s="1"/>
  <c r="S121" i="2"/>
  <c r="T121" i="2" s="1"/>
  <c r="S90" i="2"/>
  <c r="T90" i="2" s="1"/>
  <c r="S57" i="2"/>
  <c r="T57" i="2" s="1"/>
  <c r="S24" i="2"/>
  <c r="T24" i="2" s="1"/>
  <c r="M247" i="2" l="1"/>
  <c r="P247" i="2" s="1"/>
  <c r="M248" i="2"/>
  <c r="P24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2EAA2D-7F86-47DC-9CAB-BFB3311E04E6}" keepAlive="1" name="Запрос — tip" description="Соединение с запросом &quot;tip&quot; в книге." type="5" refreshedVersion="7" background="1" saveData="1">
    <dbPr connection="Provider=Microsoft.Mashup.OleDb.1;Data Source=$Workbook$;Location=tip;Extended Properties=&quot;&quot;" command="SELECT * FROM [tip]"/>
  </connection>
</connections>
</file>

<file path=xl/sharedStrings.xml><?xml version="1.0" encoding="utf-8"?>
<sst xmlns="http://schemas.openxmlformats.org/spreadsheetml/2006/main" count="1498" uniqueCount="393">
  <si>
    <t>total_bill</t>
  </si>
  <si>
    <t>tip</t>
  </si>
  <si>
    <t>sex</t>
  </si>
  <si>
    <t>smoker</t>
  </si>
  <si>
    <t>day</t>
  </si>
  <si>
    <t>time</t>
  </si>
  <si>
    <t>size</t>
  </si>
  <si>
    <t>16.99</t>
  </si>
  <si>
    <t>1.01</t>
  </si>
  <si>
    <t>Female</t>
  </si>
  <si>
    <t>No</t>
  </si>
  <si>
    <t>Sun</t>
  </si>
  <si>
    <t>Dinner</t>
  </si>
  <si>
    <t>10.34</t>
  </si>
  <si>
    <t>1.66</t>
  </si>
  <si>
    <t>Male</t>
  </si>
  <si>
    <t>21.01</t>
  </si>
  <si>
    <t>3.5</t>
  </si>
  <si>
    <t>23.68</t>
  </si>
  <si>
    <t>3.31</t>
  </si>
  <si>
    <t>24.59</t>
  </si>
  <si>
    <t>3.61</t>
  </si>
  <si>
    <t>25.29</t>
  </si>
  <si>
    <t>4.71</t>
  </si>
  <si>
    <t>8.77</t>
  </si>
  <si>
    <t>2.0</t>
  </si>
  <si>
    <t>26.88</t>
  </si>
  <si>
    <t>3.12</t>
  </si>
  <si>
    <t>15.04</t>
  </si>
  <si>
    <t>1.96</t>
  </si>
  <si>
    <t>14.78</t>
  </si>
  <si>
    <t>3.23</t>
  </si>
  <si>
    <t>10.27</t>
  </si>
  <si>
    <t>1.71</t>
  </si>
  <si>
    <t>35.26</t>
  </si>
  <si>
    <t>5.0</t>
  </si>
  <si>
    <t>15.42</t>
  </si>
  <si>
    <t>1.57</t>
  </si>
  <si>
    <t>18.43</t>
  </si>
  <si>
    <t>3.0</t>
  </si>
  <si>
    <t>14.83</t>
  </si>
  <si>
    <t>3.02</t>
  </si>
  <si>
    <t>21.58</t>
  </si>
  <si>
    <t>3.92</t>
  </si>
  <si>
    <t>10.33</t>
  </si>
  <si>
    <t>1.67</t>
  </si>
  <si>
    <t>16.29</t>
  </si>
  <si>
    <t>3.71</t>
  </si>
  <si>
    <t>16.97</t>
  </si>
  <si>
    <t>20.65</t>
  </si>
  <si>
    <t>3.35</t>
  </si>
  <si>
    <t>Sat</t>
  </si>
  <si>
    <t>17.92</t>
  </si>
  <si>
    <t>4.08</t>
  </si>
  <si>
    <t>20.29</t>
  </si>
  <si>
    <t>2.75</t>
  </si>
  <si>
    <t>15.77</t>
  </si>
  <si>
    <t>2.23</t>
  </si>
  <si>
    <t>39.42</t>
  </si>
  <si>
    <t>7.58</t>
  </si>
  <si>
    <t>19.82</t>
  </si>
  <si>
    <t>3.18</t>
  </si>
  <si>
    <t>17.81</t>
  </si>
  <si>
    <t>2.34</t>
  </si>
  <si>
    <t>13.37</t>
  </si>
  <si>
    <t>12.69</t>
  </si>
  <si>
    <t>21.7</t>
  </si>
  <si>
    <t>4.3</t>
  </si>
  <si>
    <t>19.65</t>
  </si>
  <si>
    <t>9.55</t>
  </si>
  <si>
    <t>1.45</t>
  </si>
  <si>
    <t>18.35</t>
  </si>
  <si>
    <t>2.5</t>
  </si>
  <si>
    <t>15.06</t>
  </si>
  <si>
    <t>20.69</t>
  </si>
  <si>
    <t>2.45</t>
  </si>
  <si>
    <t>17.78</t>
  </si>
  <si>
    <t>3.27</t>
  </si>
  <si>
    <t>24.06</t>
  </si>
  <si>
    <t>3.6</t>
  </si>
  <si>
    <t>16.31</t>
  </si>
  <si>
    <t>16.93</t>
  </si>
  <si>
    <t>3.07</t>
  </si>
  <si>
    <t>18.69</t>
  </si>
  <si>
    <t>2.31</t>
  </si>
  <si>
    <t>31.27</t>
  </si>
  <si>
    <t>16.04</t>
  </si>
  <si>
    <t>2.24</t>
  </si>
  <si>
    <t>17.46</t>
  </si>
  <si>
    <t>2.54</t>
  </si>
  <si>
    <t>13.94</t>
  </si>
  <si>
    <t>3.06</t>
  </si>
  <si>
    <t>9.68</t>
  </si>
  <si>
    <t>1.32</t>
  </si>
  <si>
    <t>30.4</t>
  </si>
  <si>
    <t>5.6</t>
  </si>
  <si>
    <t>18.29</t>
  </si>
  <si>
    <t>22.23</t>
  </si>
  <si>
    <t>32.4</t>
  </si>
  <si>
    <t>6.0</t>
  </si>
  <si>
    <t>28.55</t>
  </si>
  <si>
    <t>2.05</t>
  </si>
  <si>
    <t>18.04</t>
  </si>
  <si>
    <t>12.54</t>
  </si>
  <si>
    <t>10.29</t>
  </si>
  <si>
    <t>2.6</t>
  </si>
  <si>
    <t>34.81</t>
  </si>
  <si>
    <t>5.2</t>
  </si>
  <si>
    <t>9.94</t>
  </si>
  <si>
    <t>1.56</t>
  </si>
  <si>
    <t>25.56</t>
  </si>
  <si>
    <t>4.34</t>
  </si>
  <si>
    <t>19.49</t>
  </si>
  <si>
    <t>3.51</t>
  </si>
  <si>
    <t>38.01</t>
  </si>
  <si>
    <t>Yes</t>
  </si>
  <si>
    <t>26.41</t>
  </si>
  <si>
    <t>1.5</t>
  </si>
  <si>
    <t>11.24</t>
  </si>
  <si>
    <t>1.76</t>
  </si>
  <si>
    <t>48.27</t>
  </si>
  <si>
    <t>6.73</t>
  </si>
  <si>
    <t>3.21</t>
  </si>
  <si>
    <t>13.81</t>
  </si>
  <si>
    <t>11.02</t>
  </si>
  <si>
    <t>1.98</t>
  </si>
  <si>
    <t>3.76</t>
  </si>
  <si>
    <t>17.59</t>
  </si>
  <si>
    <t>2.64</t>
  </si>
  <si>
    <t>20.08</t>
  </si>
  <si>
    <t>3.15</t>
  </si>
  <si>
    <t>16.45</t>
  </si>
  <si>
    <t>2.47</t>
  </si>
  <si>
    <t>1.0</t>
  </si>
  <si>
    <t>20.23</t>
  </si>
  <si>
    <t>2.01</t>
  </si>
  <si>
    <t>15.01</t>
  </si>
  <si>
    <t>2.09</t>
  </si>
  <si>
    <t>12.02</t>
  </si>
  <si>
    <t>1.97</t>
  </si>
  <si>
    <t>17.07</t>
  </si>
  <si>
    <t>26.86</t>
  </si>
  <si>
    <t>3.14</t>
  </si>
  <si>
    <t>25.28</t>
  </si>
  <si>
    <t>14.73</t>
  </si>
  <si>
    <t>2.2</t>
  </si>
  <si>
    <t>10.51</t>
  </si>
  <si>
    <t>1.25</t>
  </si>
  <si>
    <t>3.08</t>
  </si>
  <si>
    <t>27.2</t>
  </si>
  <si>
    <t>4.0</t>
  </si>
  <si>
    <t>Thur</t>
  </si>
  <si>
    <t>Lunch</t>
  </si>
  <si>
    <t>22.76</t>
  </si>
  <si>
    <t>17.29</t>
  </si>
  <si>
    <t>2.71</t>
  </si>
  <si>
    <t>19.44</t>
  </si>
  <si>
    <t>16.66</t>
  </si>
  <si>
    <t>3.4</t>
  </si>
  <si>
    <t>10.07</t>
  </si>
  <si>
    <t>1.83</t>
  </si>
  <si>
    <t>32.68</t>
  </si>
  <si>
    <t>15.98</t>
  </si>
  <si>
    <t>2.03</t>
  </si>
  <si>
    <t>34.83</t>
  </si>
  <si>
    <t>5.17</t>
  </si>
  <si>
    <t>13.03</t>
  </si>
  <si>
    <t>18.28</t>
  </si>
  <si>
    <t>24.71</t>
  </si>
  <si>
    <t>5.85</t>
  </si>
  <si>
    <t>21.16</t>
  </si>
  <si>
    <t>28.97</t>
  </si>
  <si>
    <t>Fri</t>
  </si>
  <si>
    <t>22.49</t>
  </si>
  <si>
    <t>5.75</t>
  </si>
  <si>
    <t>16.32</t>
  </si>
  <si>
    <t>22.75</t>
  </si>
  <si>
    <t>3.25</t>
  </si>
  <si>
    <t>40.17</t>
  </si>
  <si>
    <t>4.73</t>
  </si>
  <si>
    <t>27.28</t>
  </si>
  <si>
    <t>12.03</t>
  </si>
  <si>
    <t>12.46</t>
  </si>
  <si>
    <t>11.35</t>
  </si>
  <si>
    <t>15.38</t>
  </si>
  <si>
    <t>44.3</t>
  </si>
  <si>
    <t>22.42</t>
  </si>
  <si>
    <t>3.48</t>
  </si>
  <si>
    <t>20.92</t>
  </si>
  <si>
    <t>15.36</t>
  </si>
  <si>
    <t>1.64</t>
  </si>
  <si>
    <t>20.49</t>
  </si>
  <si>
    <t>4.06</t>
  </si>
  <si>
    <t>25.21</t>
  </si>
  <si>
    <t>4.29</t>
  </si>
  <si>
    <t>18.24</t>
  </si>
  <si>
    <t>14.31</t>
  </si>
  <si>
    <t>14.0</t>
  </si>
  <si>
    <t>7.25</t>
  </si>
  <si>
    <t>38.07</t>
  </si>
  <si>
    <t>23.95</t>
  </si>
  <si>
    <t>2.55</t>
  </si>
  <si>
    <t>25.71</t>
  </si>
  <si>
    <t>17.31</t>
  </si>
  <si>
    <t>29.93</t>
  </si>
  <si>
    <t>5.07</t>
  </si>
  <si>
    <t>10.65</t>
  </si>
  <si>
    <t>12.43</t>
  </si>
  <si>
    <t>1.8</t>
  </si>
  <si>
    <t>24.08</t>
  </si>
  <si>
    <t>2.92</t>
  </si>
  <si>
    <t>11.69</t>
  </si>
  <si>
    <t>13.42</t>
  </si>
  <si>
    <t>1.68</t>
  </si>
  <si>
    <t>14.26</t>
  </si>
  <si>
    <t>15.95</t>
  </si>
  <si>
    <t>12.48</t>
  </si>
  <si>
    <t>2.52</t>
  </si>
  <si>
    <t>29.8</t>
  </si>
  <si>
    <t>4.2</t>
  </si>
  <si>
    <t>8.52</t>
  </si>
  <si>
    <t>1.48</t>
  </si>
  <si>
    <t>14.52</t>
  </si>
  <si>
    <t>11.38</t>
  </si>
  <si>
    <t>22.82</t>
  </si>
  <si>
    <t>2.18</t>
  </si>
  <si>
    <t>19.08</t>
  </si>
  <si>
    <t>20.27</t>
  </si>
  <si>
    <t>2.83</t>
  </si>
  <si>
    <t>11.17</t>
  </si>
  <si>
    <t>12.26</t>
  </si>
  <si>
    <t>18.26</t>
  </si>
  <si>
    <t>8.51</t>
  </si>
  <si>
    <t>14.15</t>
  </si>
  <si>
    <t>16.0</t>
  </si>
  <si>
    <t>13.16</t>
  </si>
  <si>
    <t>17.47</t>
  </si>
  <si>
    <t>34.3</t>
  </si>
  <si>
    <t>6.7</t>
  </si>
  <si>
    <t>41.19</t>
  </si>
  <si>
    <t>27.05</t>
  </si>
  <si>
    <t>16.43</t>
  </si>
  <si>
    <t>2.3</t>
  </si>
  <si>
    <t>8.35</t>
  </si>
  <si>
    <t>18.64</t>
  </si>
  <si>
    <t>1.36</t>
  </si>
  <si>
    <t>11.87</t>
  </si>
  <si>
    <t>1.63</t>
  </si>
  <si>
    <t>9.78</t>
  </si>
  <si>
    <t>1.73</t>
  </si>
  <si>
    <t>7.51</t>
  </si>
  <si>
    <t>14.07</t>
  </si>
  <si>
    <t>13.13</t>
  </si>
  <si>
    <t>17.26</t>
  </si>
  <si>
    <t>2.74</t>
  </si>
  <si>
    <t>24.55</t>
  </si>
  <si>
    <t>19.77</t>
  </si>
  <si>
    <t>29.85</t>
  </si>
  <si>
    <t>5.14</t>
  </si>
  <si>
    <t>48.17</t>
  </si>
  <si>
    <t>25.0</t>
  </si>
  <si>
    <t>3.75</t>
  </si>
  <si>
    <t>13.39</t>
  </si>
  <si>
    <t>2.61</t>
  </si>
  <si>
    <t>16.49</t>
  </si>
  <si>
    <t>21.5</t>
  </si>
  <si>
    <t>12.66</t>
  </si>
  <si>
    <t>16.21</t>
  </si>
  <si>
    <t>17.51</t>
  </si>
  <si>
    <t>24.52</t>
  </si>
  <si>
    <t>20.76</t>
  </si>
  <si>
    <t>31.71</t>
  </si>
  <si>
    <t>4.5</t>
  </si>
  <si>
    <t>10.59</t>
  </si>
  <si>
    <t>1.61</t>
  </si>
  <si>
    <t>10.63</t>
  </si>
  <si>
    <t>50.81</t>
  </si>
  <si>
    <t>10.0</t>
  </si>
  <si>
    <t>15.81</t>
  </si>
  <si>
    <t>3.16</t>
  </si>
  <si>
    <t>5.15</t>
  </si>
  <si>
    <t>31.85</t>
  </si>
  <si>
    <t>16.82</t>
  </si>
  <si>
    <t>32.9</t>
  </si>
  <si>
    <t>3.11</t>
  </si>
  <si>
    <t>17.89</t>
  </si>
  <si>
    <t>14.48</t>
  </si>
  <si>
    <t>9.6</t>
  </si>
  <si>
    <t>34.63</t>
  </si>
  <si>
    <t>3.55</t>
  </si>
  <si>
    <t>34.65</t>
  </si>
  <si>
    <t>3.68</t>
  </si>
  <si>
    <t>23.33</t>
  </si>
  <si>
    <t>5.65</t>
  </si>
  <si>
    <t>45.35</t>
  </si>
  <si>
    <t>23.17</t>
  </si>
  <si>
    <t>6.5</t>
  </si>
  <si>
    <t>40.55</t>
  </si>
  <si>
    <t>20.9</t>
  </si>
  <si>
    <t>30.46</t>
  </si>
  <si>
    <t>18.15</t>
  </si>
  <si>
    <t>23.1</t>
  </si>
  <si>
    <t>15.69</t>
  </si>
  <si>
    <t>19.81</t>
  </si>
  <si>
    <t>4.19</t>
  </si>
  <si>
    <t>28.44</t>
  </si>
  <si>
    <t>2.56</t>
  </si>
  <si>
    <t>15.48</t>
  </si>
  <si>
    <t>2.02</t>
  </si>
  <si>
    <t>16.58</t>
  </si>
  <si>
    <t>7.56</t>
  </si>
  <si>
    <t>1.44</t>
  </si>
  <si>
    <t>43.11</t>
  </si>
  <si>
    <t>13.0</t>
  </si>
  <si>
    <t>13.51</t>
  </si>
  <si>
    <t>18.71</t>
  </si>
  <si>
    <t>12.74</t>
  </si>
  <si>
    <t>16.4</t>
  </si>
  <si>
    <t>20.53</t>
  </si>
  <si>
    <t>16.47</t>
  </si>
  <si>
    <t>26.59</t>
  </si>
  <si>
    <t>3.41</t>
  </si>
  <si>
    <t>38.73</t>
  </si>
  <si>
    <t>24.27</t>
  </si>
  <si>
    <t>12.76</t>
  </si>
  <si>
    <t>30.06</t>
  </si>
  <si>
    <t>25.89</t>
  </si>
  <si>
    <t>5.16</t>
  </si>
  <si>
    <t>48.33</t>
  </si>
  <si>
    <t>9.0</t>
  </si>
  <si>
    <t>13.27</t>
  </si>
  <si>
    <t>28.17</t>
  </si>
  <si>
    <t>12.9</t>
  </si>
  <si>
    <t>1.1</t>
  </si>
  <si>
    <t>28.15</t>
  </si>
  <si>
    <t>11.59</t>
  </si>
  <si>
    <t>7.74</t>
  </si>
  <si>
    <t>30.14</t>
  </si>
  <si>
    <t>3.09</t>
  </si>
  <si>
    <t>12.16</t>
  </si>
  <si>
    <t>8.58</t>
  </si>
  <si>
    <t>1.92</t>
  </si>
  <si>
    <t>1.58</t>
  </si>
  <si>
    <t>16.27</t>
  </si>
  <si>
    <t>10.09</t>
  </si>
  <si>
    <t>20.45</t>
  </si>
  <si>
    <t>13.28</t>
  </si>
  <si>
    <t>2.72</t>
  </si>
  <si>
    <t>22.12</t>
  </si>
  <si>
    <t>2.88</t>
  </si>
  <si>
    <t>24.01</t>
  </si>
  <si>
    <t>11.61</t>
  </si>
  <si>
    <t>3.39</t>
  </si>
  <si>
    <t>10.77</t>
  </si>
  <si>
    <t>1.47</t>
  </si>
  <si>
    <t>15.53</t>
  </si>
  <si>
    <t>12.6</t>
  </si>
  <si>
    <t>32.83</t>
  </si>
  <si>
    <t>1.17</t>
  </si>
  <si>
    <t>35.83</t>
  </si>
  <si>
    <t>4.67</t>
  </si>
  <si>
    <t>29.03</t>
  </si>
  <si>
    <t>5.92</t>
  </si>
  <si>
    <t>27.18</t>
  </si>
  <si>
    <t>22.67</t>
  </si>
  <si>
    <t>17.82</t>
  </si>
  <si>
    <t>1.75</t>
  </si>
  <si>
    <t>18.78</t>
  </si>
  <si>
    <t>Xср</t>
  </si>
  <si>
    <t>Yср</t>
  </si>
  <si>
    <t>Xi</t>
  </si>
  <si>
    <t>Xi - Xср</t>
  </si>
  <si>
    <t>(Xi - Xср)^2</t>
  </si>
  <si>
    <t>n</t>
  </si>
  <si>
    <t>Sx^2</t>
  </si>
  <si>
    <t>Sy^2</t>
  </si>
  <si>
    <t>Yi</t>
  </si>
  <si>
    <t>Yi - Yср</t>
  </si>
  <si>
    <t>(Yi - Yср)^2</t>
  </si>
  <si>
    <t>Sx</t>
  </si>
  <si>
    <t>Sy</t>
  </si>
  <si>
    <t>Xi^2</t>
  </si>
  <si>
    <t>Yi^2</t>
  </si>
  <si>
    <t>Yi * Xi</t>
  </si>
  <si>
    <t>X^2ср</t>
  </si>
  <si>
    <t>Y^2ср</t>
  </si>
  <si>
    <t>(XY)ср</t>
  </si>
  <si>
    <t>rxy</t>
  </si>
  <si>
    <t>b</t>
  </si>
  <si>
    <t xml:space="preserve">a </t>
  </si>
  <si>
    <t>mr</t>
  </si>
  <si>
    <t>tr</t>
  </si>
  <si>
    <t>ttabl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</si>
</sst>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</cellXfs>
  <cellStyles count="1">
    <cellStyle name="Обычный" xfId="0" builtinId="0"/>
  </cellStyles>
  <dxfs count="12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размера чаевых от суммы чека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tip!$J$2:$J$245</c:f>
              <c:numCache>
                <c:formatCode>General</c:formatCode>
                <c:ptCount val="244"/>
                <c:pt idx="0">
                  <c:v>16.989999999999998</c:v>
                </c:pt>
                <c:pt idx="1">
                  <c:v>10.34</c:v>
                </c:pt>
                <c:pt idx="2">
                  <c:v>21.01</c:v>
                </c:pt>
                <c:pt idx="3">
                  <c:v>23.68</c:v>
                </c:pt>
                <c:pt idx="4">
                  <c:v>24.59</c:v>
                </c:pt>
                <c:pt idx="5">
                  <c:v>25.29</c:v>
                </c:pt>
                <c:pt idx="6">
                  <c:v>8.77</c:v>
                </c:pt>
                <c:pt idx="7">
                  <c:v>26.88</c:v>
                </c:pt>
                <c:pt idx="8">
                  <c:v>15.04</c:v>
                </c:pt>
                <c:pt idx="9">
                  <c:v>14.78</c:v>
                </c:pt>
                <c:pt idx="10">
                  <c:v>10.27</c:v>
                </c:pt>
                <c:pt idx="11">
                  <c:v>35.26</c:v>
                </c:pt>
                <c:pt idx="12">
                  <c:v>15.42</c:v>
                </c:pt>
                <c:pt idx="13">
                  <c:v>18.43</c:v>
                </c:pt>
                <c:pt idx="14">
                  <c:v>14.83</c:v>
                </c:pt>
                <c:pt idx="15">
                  <c:v>21.58</c:v>
                </c:pt>
                <c:pt idx="16">
                  <c:v>10.33</c:v>
                </c:pt>
                <c:pt idx="17">
                  <c:v>16.29</c:v>
                </c:pt>
                <c:pt idx="18">
                  <c:v>16.97</c:v>
                </c:pt>
                <c:pt idx="19">
                  <c:v>20.65</c:v>
                </c:pt>
                <c:pt idx="20">
                  <c:v>17.920000000000002</c:v>
                </c:pt>
                <c:pt idx="21">
                  <c:v>20.29</c:v>
                </c:pt>
                <c:pt idx="22">
                  <c:v>15.77</c:v>
                </c:pt>
                <c:pt idx="23">
                  <c:v>39.42</c:v>
                </c:pt>
                <c:pt idx="24">
                  <c:v>19.82</c:v>
                </c:pt>
                <c:pt idx="25">
                  <c:v>17.809999999999999</c:v>
                </c:pt>
                <c:pt idx="26">
                  <c:v>13.37</c:v>
                </c:pt>
                <c:pt idx="27">
                  <c:v>12.69</c:v>
                </c:pt>
                <c:pt idx="28">
                  <c:v>21.7</c:v>
                </c:pt>
                <c:pt idx="29">
                  <c:v>19.649999999999999</c:v>
                </c:pt>
                <c:pt idx="30">
                  <c:v>9.5500000000000007</c:v>
                </c:pt>
                <c:pt idx="31">
                  <c:v>18.350000000000001</c:v>
                </c:pt>
                <c:pt idx="32">
                  <c:v>15.06</c:v>
                </c:pt>
                <c:pt idx="33">
                  <c:v>20.69</c:v>
                </c:pt>
                <c:pt idx="34">
                  <c:v>17.78</c:v>
                </c:pt>
                <c:pt idx="35">
                  <c:v>24.06</c:v>
                </c:pt>
                <c:pt idx="36">
                  <c:v>16.309999999999999</c:v>
                </c:pt>
                <c:pt idx="37">
                  <c:v>16.93</c:v>
                </c:pt>
                <c:pt idx="38">
                  <c:v>18.690000000000001</c:v>
                </c:pt>
                <c:pt idx="39">
                  <c:v>31.27</c:v>
                </c:pt>
                <c:pt idx="40">
                  <c:v>16.04</c:v>
                </c:pt>
                <c:pt idx="41">
                  <c:v>17.46</c:v>
                </c:pt>
                <c:pt idx="42">
                  <c:v>13.94</c:v>
                </c:pt>
                <c:pt idx="43">
                  <c:v>9.68</c:v>
                </c:pt>
                <c:pt idx="44">
                  <c:v>30.4</c:v>
                </c:pt>
                <c:pt idx="45">
                  <c:v>18.29</c:v>
                </c:pt>
                <c:pt idx="46">
                  <c:v>22.23</c:v>
                </c:pt>
                <c:pt idx="47">
                  <c:v>32.4</c:v>
                </c:pt>
                <c:pt idx="48">
                  <c:v>28.55</c:v>
                </c:pt>
                <c:pt idx="49">
                  <c:v>18.04</c:v>
                </c:pt>
                <c:pt idx="50">
                  <c:v>12.54</c:v>
                </c:pt>
                <c:pt idx="51">
                  <c:v>10.29</c:v>
                </c:pt>
                <c:pt idx="52">
                  <c:v>34.81</c:v>
                </c:pt>
                <c:pt idx="53">
                  <c:v>9.94</c:v>
                </c:pt>
                <c:pt idx="54">
                  <c:v>25.56</c:v>
                </c:pt>
                <c:pt idx="55">
                  <c:v>19.489999999999998</c:v>
                </c:pt>
                <c:pt idx="56">
                  <c:v>38.01</c:v>
                </c:pt>
                <c:pt idx="57">
                  <c:v>26.41</c:v>
                </c:pt>
                <c:pt idx="58">
                  <c:v>11.24</c:v>
                </c:pt>
                <c:pt idx="59">
                  <c:v>48.27</c:v>
                </c:pt>
                <c:pt idx="60">
                  <c:v>20.29</c:v>
                </c:pt>
                <c:pt idx="61">
                  <c:v>13.81</c:v>
                </c:pt>
                <c:pt idx="62">
                  <c:v>11.02</c:v>
                </c:pt>
                <c:pt idx="63">
                  <c:v>18.29</c:v>
                </c:pt>
                <c:pt idx="64">
                  <c:v>17.59</c:v>
                </c:pt>
                <c:pt idx="65">
                  <c:v>20.079999999999998</c:v>
                </c:pt>
                <c:pt idx="66">
                  <c:v>16.45</c:v>
                </c:pt>
                <c:pt idx="67">
                  <c:v>3.07</c:v>
                </c:pt>
                <c:pt idx="68">
                  <c:v>20.23</c:v>
                </c:pt>
                <c:pt idx="69">
                  <c:v>15.01</c:v>
                </c:pt>
                <c:pt idx="70">
                  <c:v>12.02</c:v>
                </c:pt>
                <c:pt idx="71">
                  <c:v>17.07</c:v>
                </c:pt>
                <c:pt idx="72">
                  <c:v>26.86</c:v>
                </c:pt>
                <c:pt idx="73">
                  <c:v>25.28</c:v>
                </c:pt>
                <c:pt idx="74">
                  <c:v>14.73</c:v>
                </c:pt>
                <c:pt idx="75">
                  <c:v>10.51</c:v>
                </c:pt>
                <c:pt idx="76">
                  <c:v>17.920000000000002</c:v>
                </c:pt>
                <c:pt idx="77">
                  <c:v>27.2</c:v>
                </c:pt>
                <c:pt idx="78">
                  <c:v>22.76</c:v>
                </c:pt>
                <c:pt idx="79">
                  <c:v>17.29</c:v>
                </c:pt>
                <c:pt idx="80">
                  <c:v>19.440000000000001</c:v>
                </c:pt>
                <c:pt idx="81">
                  <c:v>16.66</c:v>
                </c:pt>
                <c:pt idx="82">
                  <c:v>10.07</c:v>
                </c:pt>
                <c:pt idx="83">
                  <c:v>32.68</c:v>
                </c:pt>
                <c:pt idx="84">
                  <c:v>15.98</c:v>
                </c:pt>
                <c:pt idx="85">
                  <c:v>34.83</c:v>
                </c:pt>
                <c:pt idx="86">
                  <c:v>13.03</c:v>
                </c:pt>
                <c:pt idx="87">
                  <c:v>18.28</c:v>
                </c:pt>
                <c:pt idx="88">
                  <c:v>24.71</c:v>
                </c:pt>
                <c:pt idx="89">
                  <c:v>21.16</c:v>
                </c:pt>
                <c:pt idx="90">
                  <c:v>28.97</c:v>
                </c:pt>
                <c:pt idx="91">
                  <c:v>22.49</c:v>
                </c:pt>
                <c:pt idx="92">
                  <c:v>5.75</c:v>
                </c:pt>
                <c:pt idx="93">
                  <c:v>16.32</c:v>
                </c:pt>
                <c:pt idx="94">
                  <c:v>22.75</c:v>
                </c:pt>
                <c:pt idx="95">
                  <c:v>40.17</c:v>
                </c:pt>
                <c:pt idx="96">
                  <c:v>27.28</c:v>
                </c:pt>
                <c:pt idx="97">
                  <c:v>12.03</c:v>
                </c:pt>
                <c:pt idx="98">
                  <c:v>21.01</c:v>
                </c:pt>
                <c:pt idx="99">
                  <c:v>12.46</c:v>
                </c:pt>
                <c:pt idx="100">
                  <c:v>11.35</c:v>
                </c:pt>
                <c:pt idx="101">
                  <c:v>15.38</c:v>
                </c:pt>
                <c:pt idx="102">
                  <c:v>44.3</c:v>
                </c:pt>
                <c:pt idx="103">
                  <c:v>22.42</c:v>
                </c:pt>
                <c:pt idx="104">
                  <c:v>20.92</c:v>
                </c:pt>
                <c:pt idx="105">
                  <c:v>15.36</c:v>
                </c:pt>
                <c:pt idx="106">
                  <c:v>20.49</c:v>
                </c:pt>
                <c:pt idx="107">
                  <c:v>25.21</c:v>
                </c:pt>
                <c:pt idx="108">
                  <c:v>18.239999999999998</c:v>
                </c:pt>
                <c:pt idx="109">
                  <c:v>14.31</c:v>
                </c:pt>
                <c:pt idx="110">
                  <c:v>14</c:v>
                </c:pt>
                <c:pt idx="111">
                  <c:v>7.25</c:v>
                </c:pt>
                <c:pt idx="112">
                  <c:v>38.07</c:v>
                </c:pt>
                <c:pt idx="113">
                  <c:v>23.95</c:v>
                </c:pt>
                <c:pt idx="114">
                  <c:v>25.71</c:v>
                </c:pt>
                <c:pt idx="115">
                  <c:v>17.309999999999999</c:v>
                </c:pt>
                <c:pt idx="116">
                  <c:v>29.93</c:v>
                </c:pt>
                <c:pt idx="117">
                  <c:v>10.65</c:v>
                </c:pt>
                <c:pt idx="118">
                  <c:v>12.43</c:v>
                </c:pt>
                <c:pt idx="119">
                  <c:v>24.08</c:v>
                </c:pt>
                <c:pt idx="120">
                  <c:v>11.69</c:v>
                </c:pt>
                <c:pt idx="121">
                  <c:v>13.42</c:v>
                </c:pt>
                <c:pt idx="122">
                  <c:v>14.26</c:v>
                </c:pt>
                <c:pt idx="123">
                  <c:v>15.95</c:v>
                </c:pt>
                <c:pt idx="124">
                  <c:v>12.48</c:v>
                </c:pt>
                <c:pt idx="125">
                  <c:v>29.8</c:v>
                </c:pt>
                <c:pt idx="126">
                  <c:v>8.52</c:v>
                </c:pt>
                <c:pt idx="127">
                  <c:v>14.52</c:v>
                </c:pt>
                <c:pt idx="128">
                  <c:v>11.38</c:v>
                </c:pt>
                <c:pt idx="129">
                  <c:v>22.82</c:v>
                </c:pt>
                <c:pt idx="130">
                  <c:v>19.079999999999998</c:v>
                </c:pt>
                <c:pt idx="131">
                  <c:v>20.27</c:v>
                </c:pt>
                <c:pt idx="132">
                  <c:v>11.17</c:v>
                </c:pt>
                <c:pt idx="133">
                  <c:v>12.26</c:v>
                </c:pt>
                <c:pt idx="134">
                  <c:v>18.260000000000002</c:v>
                </c:pt>
                <c:pt idx="135">
                  <c:v>8.51</c:v>
                </c:pt>
                <c:pt idx="136">
                  <c:v>10.33</c:v>
                </c:pt>
                <c:pt idx="137">
                  <c:v>14.15</c:v>
                </c:pt>
                <c:pt idx="138">
                  <c:v>16</c:v>
                </c:pt>
                <c:pt idx="139">
                  <c:v>13.16</c:v>
                </c:pt>
                <c:pt idx="140">
                  <c:v>17.47</c:v>
                </c:pt>
                <c:pt idx="141">
                  <c:v>34.299999999999997</c:v>
                </c:pt>
                <c:pt idx="142">
                  <c:v>41.19</c:v>
                </c:pt>
                <c:pt idx="143">
                  <c:v>27.05</c:v>
                </c:pt>
                <c:pt idx="144">
                  <c:v>16.43</c:v>
                </c:pt>
                <c:pt idx="145">
                  <c:v>8.35</c:v>
                </c:pt>
                <c:pt idx="146">
                  <c:v>18.64</c:v>
                </c:pt>
                <c:pt idx="147">
                  <c:v>11.87</c:v>
                </c:pt>
                <c:pt idx="148">
                  <c:v>9.7799999999999994</c:v>
                </c:pt>
                <c:pt idx="149">
                  <c:v>7.51</c:v>
                </c:pt>
                <c:pt idx="150">
                  <c:v>14.07</c:v>
                </c:pt>
                <c:pt idx="151">
                  <c:v>13.13</c:v>
                </c:pt>
                <c:pt idx="152">
                  <c:v>17.260000000000002</c:v>
                </c:pt>
                <c:pt idx="153">
                  <c:v>24.55</c:v>
                </c:pt>
                <c:pt idx="154">
                  <c:v>19.77</c:v>
                </c:pt>
                <c:pt idx="155">
                  <c:v>29.85</c:v>
                </c:pt>
                <c:pt idx="156">
                  <c:v>48.17</c:v>
                </c:pt>
                <c:pt idx="157">
                  <c:v>25</c:v>
                </c:pt>
                <c:pt idx="158">
                  <c:v>13.39</c:v>
                </c:pt>
                <c:pt idx="159">
                  <c:v>16.489999999999998</c:v>
                </c:pt>
                <c:pt idx="160">
                  <c:v>21.5</c:v>
                </c:pt>
                <c:pt idx="161">
                  <c:v>12.66</c:v>
                </c:pt>
                <c:pt idx="162">
                  <c:v>16.21</c:v>
                </c:pt>
                <c:pt idx="163">
                  <c:v>13.81</c:v>
                </c:pt>
                <c:pt idx="164">
                  <c:v>17.510000000000002</c:v>
                </c:pt>
                <c:pt idx="165">
                  <c:v>24.52</c:v>
                </c:pt>
                <c:pt idx="166">
                  <c:v>20.76</c:v>
                </c:pt>
                <c:pt idx="167">
                  <c:v>31.71</c:v>
                </c:pt>
                <c:pt idx="168">
                  <c:v>10.59</c:v>
                </c:pt>
                <c:pt idx="169">
                  <c:v>10.63</c:v>
                </c:pt>
                <c:pt idx="170">
                  <c:v>50.81</c:v>
                </c:pt>
                <c:pt idx="171">
                  <c:v>15.81</c:v>
                </c:pt>
                <c:pt idx="172">
                  <c:v>7.25</c:v>
                </c:pt>
                <c:pt idx="173">
                  <c:v>31.85</c:v>
                </c:pt>
                <c:pt idx="174">
                  <c:v>16.82</c:v>
                </c:pt>
                <c:pt idx="175">
                  <c:v>32.9</c:v>
                </c:pt>
                <c:pt idx="176">
                  <c:v>17.89</c:v>
                </c:pt>
                <c:pt idx="177">
                  <c:v>14.48</c:v>
                </c:pt>
                <c:pt idx="178">
                  <c:v>9.6</c:v>
                </c:pt>
                <c:pt idx="179">
                  <c:v>34.630000000000003</c:v>
                </c:pt>
                <c:pt idx="180">
                  <c:v>34.65</c:v>
                </c:pt>
                <c:pt idx="181">
                  <c:v>23.33</c:v>
                </c:pt>
                <c:pt idx="182">
                  <c:v>45.35</c:v>
                </c:pt>
                <c:pt idx="183">
                  <c:v>23.17</c:v>
                </c:pt>
                <c:pt idx="184">
                  <c:v>40.549999999999997</c:v>
                </c:pt>
                <c:pt idx="185">
                  <c:v>20.69</c:v>
                </c:pt>
                <c:pt idx="186">
                  <c:v>20.9</c:v>
                </c:pt>
                <c:pt idx="187">
                  <c:v>30.46</c:v>
                </c:pt>
                <c:pt idx="188">
                  <c:v>18.149999999999999</c:v>
                </c:pt>
                <c:pt idx="189">
                  <c:v>23.1</c:v>
                </c:pt>
                <c:pt idx="190">
                  <c:v>15.69</c:v>
                </c:pt>
                <c:pt idx="191">
                  <c:v>19.809999999999999</c:v>
                </c:pt>
                <c:pt idx="192">
                  <c:v>28.44</c:v>
                </c:pt>
                <c:pt idx="193">
                  <c:v>15.48</c:v>
                </c:pt>
                <c:pt idx="194">
                  <c:v>16.579999999999998</c:v>
                </c:pt>
                <c:pt idx="195">
                  <c:v>7.56</c:v>
                </c:pt>
                <c:pt idx="196">
                  <c:v>10.34</c:v>
                </c:pt>
                <c:pt idx="197">
                  <c:v>43.11</c:v>
                </c:pt>
                <c:pt idx="198">
                  <c:v>13</c:v>
                </c:pt>
                <c:pt idx="199">
                  <c:v>13.51</c:v>
                </c:pt>
                <c:pt idx="200">
                  <c:v>18.71</c:v>
                </c:pt>
                <c:pt idx="201">
                  <c:v>12.74</c:v>
                </c:pt>
                <c:pt idx="202">
                  <c:v>13</c:v>
                </c:pt>
                <c:pt idx="203">
                  <c:v>16.399999999999999</c:v>
                </c:pt>
                <c:pt idx="204">
                  <c:v>20.53</c:v>
                </c:pt>
                <c:pt idx="205">
                  <c:v>16.47</c:v>
                </c:pt>
                <c:pt idx="206">
                  <c:v>26.59</c:v>
                </c:pt>
                <c:pt idx="207">
                  <c:v>38.729999999999997</c:v>
                </c:pt>
                <c:pt idx="208">
                  <c:v>24.27</c:v>
                </c:pt>
                <c:pt idx="209">
                  <c:v>12.76</c:v>
                </c:pt>
                <c:pt idx="210">
                  <c:v>30.06</c:v>
                </c:pt>
                <c:pt idx="211">
                  <c:v>25.89</c:v>
                </c:pt>
                <c:pt idx="212">
                  <c:v>48.33</c:v>
                </c:pt>
                <c:pt idx="213">
                  <c:v>13.27</c:v>
                </c:pt>
                <c:pt idx="214">
                  <c:v>28.17</c:v>
                </c:pt>
                <c:pt idx="215">
                  <c:v>12.9</c:v>
                </c:pt>
                <c:pt idx="216">
                  <c:v>28.15</c:v>
                </c:pt>
                <c:pt idx="217">
                  <c:v>11.59</c:v>
                </c:pt>
                <c:pt idx="218">
                  <c:v>7.74</c:v>
                </c:pt>
                <c:pt idx="219">
                  <c:v>30.14</c:v>
                </c:pt>
                <c:pt idx="220">
                  <c:v>12.16</c:v>
                </c:pt>
                <c:pt idx="221">
                  <c:v>13.42</c:v>
                </c:pt>
                <c:pt idx="222">
                  <c:v>8.58</c:v>
                </c:pt>
                <c:pt idx="223">
                  <c:v>15.98</c:v>
                </c:pt>
                <c:pt idx="224">
                  <c:v>13.42</c:v>
                </c:pt>
                <c:pt idx="225">
                  <c:v>16.27</c:v>
                </c:pt>
                <c:pt idx="226">
                  <c:v>10.09</c:v>
                </c:pt>
                <c:pt idx="227">
                  <c:v>20.45</c:v>
                </c:pt>
                <c:pt idx="228">
                  <c:v>13.28</c:v>
                </c:pt>
                <c:pt idx="229">
                  <c:v>22.12</c:v>
                </c:pt>
                <c:pt idx="230">
                  <c:v>24.01</c:v>
                </c:pt>
                <c:pt idx="231">
                  <c:v>15.69</c:v>
                </c:pt>
                <c:pt idx="232">
                  <c:v>11.61</c:v>
                </c:pt>
                <c:pt idx="233">
                  <c:v>10.77</c:v>
                </c:pt>
                <c:pt idx="234">
                  <c:v>15.53</c:v>
                </c:pt>
                <c:pt idx="235">
                  <c:v>10.07</c:v>
                </c:pt>
                <c:pt idx="236">
                  <c:v>12.6</c:v>
                </c:pt>
                <c:pt idx="237">
                  <c:v>32.83</c:v>
                </c:pt>
                <c:pt idx="238">
                  <c:v>35.83</c:v>
                </c:pt>
                <c:pt idx="239">
                  <c:v>29.03</c:v>
                </c:pt>
                <c:pt idx="240">
                  <c:v>27.18</c:v>
                </c:pt>
                <c:pt idx="241">
                  <c:v>22.67</c:v>
                </c:pt>
                <c:pt idx="242">
                  <c:v>17.82</c:v>
                </c:pt>
                <c:pt idx="243">
                  <c:v>18.78</c:v>
                </c:pt>
              </c:numCache>
            </c:numRef>
          </c:xVal>
          <c:yVal>
            <c:numRef>
              <c:f>tip!$K$2:$K$245</c:f>
              <c:numCache>
                <c:formatCode>General</c:formatCode>
                <c:ptCount val="244"/>
                <c:pt idx="0">
                  <c:v>1.01</c:v>
                </c:pt>
                <c:pt idx="1">
                  <c:v>1.66</c:v>
                </c:pt>
                <c:pt idx="2">
                  <c:v>3.5</c:v>
                </c:pt>
                <c:pt idx="3">
                  <c:v>3.31</c:v>
                </c:pt>
                <c:pt idx="4">
                  <c:v>3.61</c:v>
                </c:pt>
                <c:pt idx="5">
                  <c:v>4.71</c:v>
                </c:pt>
                <c:pt idx="6">
                  <c:v>2</c:v>
                </c:pt>
                <c:pt idx="7">
                  <c:v>3.12</c:v>
                </c:pt>
                <c:pt idx="8">
                  <c:v>1.96</c:v>
                </c:pt>
                <c:pt idx="9">
                  <c:v>3.23</c:v>
                </c:pt>
                <c:pt idx="10">
                  <c:v>1.71</c:v>
                </c:pt>
                <c:pt idx="11">
                  <c:v>5</c:v>
                </c:pt>
                <c:pt idx="12">
                  <c:v>1.57</c:v>
                </c:pt>
                <c:pt idx="13">
                  <c:v>3</c:v>
                </c:pt>
                <c:pt idx="14">
                  <c:v>3.02</c:v>
                </c:pt>
                <c:pt idx="15">
                  <c:v>3.92</c:v>
                </c:pt>
                <c:pt idx="16">
                  <c:v>1.67</c:v>
                </c:pt>
                <c:pt idx="17">
                  <c:v>3.71</c:v>
                </c:pt>
                <c:pt idx="18">
                  <c:v>3.5</c:v>
                </c:pt>
                <c:pt idx="19">
                  <c:v>3.35</c:v>
                </c:pt>
                <c:pt idx="20">
                  <c:v>4.08</c:v>
                </c:pt>
                <c:pt idx="21">
                  <c:v>2.75</c:v>
                </c:pt>
                <c:pt idx="22">
                  <c:v>2.23</c:v>
                </c:pt>
                <c:pt idx="23">
                  <c:v>7.58</c:v>
                </c:pt>
                <c:pt idx="24">
                  <c:v>3.18</c:v>
                </c:pt>
                <c:pt idx="25">
                  <c:v>2.34</c:v>
                </c:pt>
                <c:pt idx="26">
                  <c:v>2</c:v>
                </c:pt>
                <c:pt idx="27">
                  <c:v>2</c:v>
                </c:pt>
                <c:pt idx="28">
                  <c:v>4.3</c:v>
                </c:pt>
                <c:pt idx="29">
                  <c:v>3</c:v>
                </c:pt>
                <c:pt idx="30">
                  <c:v>1.45</c:v>
                </c:pt>
                <c:pt idx="31">
                  <c:v>2.5</c:v>
                </c:pt>
                <c:pt idx="32">
                  <c:v>3</c:v>
                </c:pt>
                <c:pt idx="33">
                  <c:v>2.4500000000000002</c:v>
                </c:pt>
                <c:pt idx="34">
                  <c:v>3.27</c:v>
                </c:pt>
                <c:pt idx="35">
                  <c:v>3.6</c:v>
                </c:pt>
                <c:pt idx="36">
                  <c:v>2</c:v>
                </c:pt>
                <c:pt idx="37">
                  <c:v>3.07</c:v>
                </c:pt>
                <c:pt idx="38">
                  <c:v>2.31</c:v>
                </c:pt>
                <c:pt idx="39">
                  <c:v>5</c:v>
                </c:pt>
                <c:pt idx="40">
                  <c:v>2.2400000000000002</c:v>
                </c:pt>
                <c:pt idx="41">
                  <c:v>2.54</c:v>
                </c:pt>
                <c:pt idx="42">
                  <c:v>3.06</c:v>
                </c:pt>
                <c:pt idx="43">
                  <c:v>1.32</c:v>
                </c:pt>
                <c:pt idx="44">
                  <c:v>5.6</c:v>
                </c:pt>
                <c:pt idx="45">
                  <c:v>3</c:v>
                </c:pt>
                <c:pt idx="46">
                  <c:v>5</c:v>
                </c:pt>
                <c:pt idx="47">
                  <c:v>6</c:v>
                </c:pt>
                <c:pt idx="48">
                  <c:v>2.0499999999999998</c:v>
                </c:pt>
                <c:pt idx="49">
                  <c:v>3</c:v>
                </c:pt>
                <c:pt idx="50">
                  <c:v>2.5</c:v>
                </c:pt>
                <c:pt idx="51">
                  <c:v>2.6</c:v>
                </c:pt>
                <c:pt idx="52">
                  <c:v>5.2</c:v>
                </c:pt>
                <c:pt idx="53">
                  <c:v>1.56</c:v>
                </c:pt>
                <c:pt idx="54">
                  <c:v>4.34</c:v>
                </c:pt>
                <c:pt idx="55">
                  <c:v>3.51</c:v>
                </c:pt>
                <c:pt idx="56">
                  <c:v>3</c:v>
                </c:pt>
                <c:pt idx="57">
                  <c:v>1.5</c:v>
                </c:pt>
                <c:pt idx="58">
                  <c:v>1.76</c:v>
                </c:pt>
                <c:pt idx="59">
                  <c:v>6.73</c:v>
                </c:pt>
                <c:pt idx="60">
                  <c:v>3.21</c:v>
                </c:pt>
                <c:pt idx="61">
                  <c:v>2</c:v>
                </c:pt>
                <c:pt idx="62">
                  <c:v>1.98</c:v>
                </c:pt>
                <c:pt idx="63">
                  <c:v>3.76</c:v>
                </c:pt>
                <c:pt idx="64">
                  <c:v>2.64</c:v>
                </c:pt>
                <c:pt idx="65">
                  <c:v>3.15</c:v>
                </c:pt>
                <c:pt idx="66">
                  <c:v>2.4700000000000002</c:v>
                </c:pt>
                <c:pt idx="67">
                  <c:v>1</c:v>
                </c:pt>
                <c:pt idx="68">
                  <c:v>2.0099999999999998</c:v>
                </c:pt>
                <c:pt idx="69">
                  <c:v>2.09</c:v>
                </c:pt>
                <c:pt idx="70">
                  <c:v>1.97</c:v>
                </c:pt>
                <c:pt idx="71">
                  <c:v>3</c:v>
                </c:pt>
                <c:pt idx="72">
                  <c:v>3.14</c:v>
                </c:pt>
                <c:pt idx="73">
                  <c:v>5</c:v>
                </c:pt>
                <c:pt idx="74">
                  <c:v>2.2000000000000002</c:v>
                </c:pt>
                <c:pt idx="75">
                  <c:v>1.25</c:v>
                </c:pt>
                <c:pt idx="76">
                  <c:v>3.08</c:v>
                </c:pt>
                <c:pt idx="77">
                  <c:v>4</c:v>
                </c:pt>
                <c:pt idx="78">
                  <c:v>3</c:v>
                </c:pt>
                <c:pt idx="79">
                  <c:v>2.71</c:v>
                </c:pt>
                <c:pt idx="80">
                  <c:v>3</c:v>
                </c:pt>
                <c:pt idx="81">
                  <c:v>3.4</c:v>
                </c:pt>
                <c:pt idx="82">
                  <c:v>1.83</c:v>
                </c:pt>
                <c:pt idx="83">
                  <c:v>5</c:v>
                </c:pt>
                <c:pt idx="84">
                  <c:v>2.0299999999999998</c:v>
                </c:pt>
                <c:pt idx="85">
                  <c:v>5.17</c:v>
                </c:pt>
                <c:pt idx="86">
                  <c:v>2</c:v>
                </c:pt>
                <c:pt idx="87">
                  <c:v>4</c:v>
                </c:pt>
                <c:pt idx="88">
                  <c:v>5.85</c:v>
                </c:pt>
                <c:pt idx="89">
                  <c:v>3</c:v>
                </c:pt>
                <c:pt idx="90">
                  <c:v>3</c:v>
                </c:pt>
                <c:pt idx="91">
                  <c:v>3.5</c:v>
                </c:pt>
                <c:pt idx="92">
                  <c:v>1</c:v>
                </c:pt>
                <c:pt idx="93">
                  <c:v>4.3</c:v>
                </c:pt>
                <c:pt idx="94">
                  <c:v>3.25</c:v>
                </c:pt>
                <c:pt idx="95">
                  <c:v>4.7300000000000004</c:v>
                </c:pt>
                <c:pt idx="96">
                  <c:v>4</c:v>
                </c:pt>
                <c:pt idx="97">
                  <c:v>1.5</c:v>
                </c:pt>
                <c:pt idx="98">
                  <c:v>3</c:v>
                </c:pt>
                <c:pt idx="99">
                  <c:v>1.5</c:v>
                </c:pt>
                <c:pt idx="100">
                  <c:v>2.5</c:v>
                </c:pt>
                <c:pt idx="101">
                  <c:v>3</c:v>
                </c:pt>
                <c:pt idx="102">
                  <c:v>2.5</c:v>
                </c:pt>
                <c:pt idx="103">
                  <c:v>3.48</c:v>
                </c:pt>
                <c:pt idx="104">
                  <c:v>4.08</c:v>
                </c:pt>
                <c:pt idx="105">
                  <c:v>1.64</c:v>
                </c:pt>
                <c:pt idx="106">
                  <c:v>4.0599999999999996</c:v>
                </c:pt>
                <c:pt idx="107">
                  <c:v>4.29</c:v>
                </c:pt>
                <c:pt idx="108">
                  <c:v>3.76</c:v>
                </c:pt>
                <c:pt idx="109">
                  <c:v>4</c:v>
                </c:pt>
                <c:pt idx="110">
                  <c:v>3</c:v>
                </c:pt>
                <c:pt idx="111">
                  <c:v>1</c:v>
                </c:pt>
                <c:pt idx="112">
                  <c:v>4</c:v>
                </c:pt>
                <c:pt idx="113">
                  <c:v>2.5499999999999998</c:v>
                </c:pt>
                <c:pt idx="114">
                  <c:v>4</c:v>
                </c:pt>
                <c:pt idx="115">
                  <c:v>3.5</c:v>
                </c:pt>
                <c:pt idx="116">
                  <c:v>5.07</c:v>
                </c:pt>
                <c:pt idx="117">
                  <c:v>1.5</c:v>
                </c:pt>
                <c:pt idx="118">
                  <c:v>1.8</c:v>
                </c:pt>
                <c:pt idx="119">
                  <c:v>2.92</c:v>
                </c:pt>
                <c:pt idx="120">
                  <c:v>2.31</c:v>
                </c:pt>
                <c:pt idx="121">
                  <c:v>1.68</c:v>
                </c:pt>
                <c:pt idx="122">
                  <c:v>2.5</c:v>
                </c:pt>
                <c:pt idx="123">
                  <c:v>2</c:v>
                </c:pt>
                <c:pt idx="124">
                  <c:v>2.52</c:v>
                </c:pt>
                <c:pt idx="125">
                  <c:v>4.2</c:v>
                </c:pt>
                <c:pt idx="126">
                  <c:v>1.48</c:v>
                </c:pt>
                <c:pt idx="127">
                  <c:v>2</c:v>
                </c:pt>
                <c:pt idx="128">
                  <c:v>2</c:v>
                </c:pt>
                <c:pt idx="129">
                  <c:v>2.1800000000000002</c:v>
                </c:pt>
                <c:pt idx="130">
                  <c:v>1.5</c:v>
                </c:pt>
                <c:pt idx="131">
                  <c:v>2.83</c:v>
                </c:pt>
                <c:pt idx="132">
                  <c:v>1.5</c:v>
                </c:pt>
                <c:pt idx="133">
                  <c:v>2</c:v>
                </c:pt>
                <c:pt idx="134">
                  <c:v>3.25</c:v>
                </c:pt>
                <c:pt idx="135">
                  <c:v>1.25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2.75</c:v>
                </c:pt>
                <c:pt idx="140">
                  <c:v>3.5</c:v>
                </c:pt>
                <c:pt idx="141">
                  <c:v>6.7</c:v>
                </c:pt>
                <c:pt idx="142">
                  <c:v>5</c:v>
                </c:pt>
                <c:pt idx="143">
                  <c:v>5</c:v>
                </c:pt>
                <c:pt idx="144">
                  <c:v>2.2999999999999998</c:v>
                </c:pt>
                <c:pt idx="145">
                  <c:v>1.5</c:v>
                </c:pt>
                <c:pt idx="146">
                  <c:v>1.36</c:v>
                </c:pt>
                <c:pt idx="147">
                  <c:v>1.63</c:v>
                </c:pt>
                <c:pt idx="148">
                  <c:v>1.73</c:v>
                </c:pt>
                <c:pt idx="149">
                  <c:v>2</c:v>
                </c:pt>
                <c:pt idx="150">
                  <c:v>2.5</c:v>
                </c:pt>
                <c:pt idx="151">
                  <c:v>2</c:v>
                </c:pt>
                <c:pt idx="152">
                  <c:v>2.74</c:v>
                </c:pt>
                <c:pt idx="153">
                  <c:v>2</c:v>
                </c:pt>
                <c:pt idx="154">
                  <c:v>2</c:v>
                </c:pt>
                <c:pt idx="155">
                  <c:v>5.14</c:v>
                </c:pt>
                <c:pt idx="156">
                  <c:v>5</c:v>
                </c:pt>
                <c:pt idx="157">
                  <c:v>3.75</c:v>
                </c:pt>
                <c:pt idx="158">
                  <c:v>2.61</c:v>
                </c:pt>
                <c:pt idx="159">
                  <c:v>2</c:v>
                </c:pt>
                <c:pt idx="160">
                  <c:v>3.5</c:v>
                </c:pt>
                <c:pt idx="161">
                  <c:v>2.5</c:v>
                </c:pt>
                <c:pt idx="162">
                  <c:v>2</c:v>
                </c:pt>
                <c:pt idx="163">
                  <c:v>2</c:v>
                </c:pt>
                <c:pt idx="164">
                  <c:v>3</c:v>
                </c:pt>
                <c:pt idx="165">
                  <c:v>3.48</c:v>
                </c:pt>
                <c:pt idx="166">
                  <c:v>2.2400000000000002</c:v>
                </c:pt>
                <c:pt idx="167">
                  <c:v>4.5</c:v>
                </c:pt>
                <c:pt idx="168">
                  <c:v>1.61</c:v>
                </c:pt>
                <c:pt idx="169">
                  <c:v>2</c:v>
                </c:pt>
                <c:pt idx="170">
                  <c:v>10</c:v>
                </c:pt>
                <c:pt idx="171">
                  <c:v>3.16</c:v>
                </c:pt>
                <c:pt idx="172">
                  <c:v>5.15</c:v>
                </c:pt>
                <c:pt idx="173">
                  <c:v>3.18</c:v>
                </c:pt>
                <c:pt idx="174">
                  <c:v>4</c:v>
                </c:pt>
                <c:pt idx="175">
                  <c:v>3.11</c:v>
                </c:pt>
                <c:pt idx="176">
                  <c:v>2</c:v>
                </c:pt>
                <c:pt idx="177">
                  <c:v>2</c:v>
                </c:pt>
                <c:pt idx="178">
                  <c:v>4</c:v>
                </c:pt>
                <c:pt idx="179">
                  <c:v>3.55</c:v>
                </c:pt>
                <c:pt idx="180">
                  <c:v>3.68</c:v>
                </c:pt>
                <c:pt idx="181">
                  <c:v>5.65</c:v>
                </c:pt>
                <c:pt idx="182">
                  <c:v>3.5</c:v>
                </c:pt>
                <c:pt idx="183">
                  <c:v>6.5</c:v>
                </c:pt>
                <c:pt idx="184">
                  <c:v>3</c:v>
                </c:pt>
                <c:pt idx="185">
                  <c:v>5</c:v>
                </c:pt>
                <c:pt idx="186">
                  <c:v>3.5</c:v>
                </c:pt>
                <c:pt idx="187">
                  <c:v>2</c:v>
                </c:pt>
                <c:pt idx="188">
                  <c:v>3.5</c:v>
                </c:pt>
                <c:pt idx="189">
                  <c:v>4</c:v>
                </c:pt>
                <c:pt idx="190">
                  <c:v>1.5</c:v>
                </c:pt>
                <c:pt idx="191">
                  <c:v>4.1900000000000004</c:v>
                </c:pt>
                <c:pt idx="192">
                  <c:v>2.56</c:v>
                </c:pt>
                <c:pt idx="193">
                  <c:v>2.02</c:v>
                </c:pt>
                <c:pt idx="194">
                  <c:v>4</c:v>
                </c:pt>
                <c:pt idx="195">
                  <c:v>1.44</c:v>
                </c:pt>
                <c:pt idx="196">
                  <c:v>2</c:v>
                </c:pt>
                <c:pt idx="197">
                  <c:v>5</c:v>
                </c:pt>
                <c:pt idx="198">
                  <c:v>2</c:v>
                </c:pt>
                <c:pt idx="199">
                  <c:v>2</c:v>
                </c:pt>
                <c:pt idx="200">
                  <c:v>4</c:v>
                </c:pt>
                <c:pt idx="201">
                  <c:v>2.0099999999999998</c:v>
                </c:pt>
                <c:pt idx="202">
                  <c:v>2</c:v>
                </c:pt>
                <c:pt idx="203">
                  <c:v>2.5</c:v>
                </c:pt>
                <c:pt idx="204">
                  <c:v>4</c:v>
                </c:pt>
                <c:pt idx="205">
                  <c:v>3.23</c:v>
                </c:pt>
                <c:pt idx="206">
                  <c:v>3.41</c:v>
                </c:pt>
                <c:pt idx="207">
                  <c:v>3</c:v>
                </c:pt>
                <c:pt idx="208">
                  <c:v>2.0299999999999998</c:v>
                </c:pt>
                <c:pt idx="209">
                  <c:v>2.23</c:v>
                </c:pt>
                <c:pt idx="210">
                  <c:v>2</c:v>
                </c:pt>
                <c:pt idx="211">
                  <c:v>5.16</c:v>
                </c:pt>
                <c:pt idx="212">
                  <c:v>9</c:v>
                </c:pt>
                <c:pt idx="213">
                  <c:v>2.5</c:v>
                </c:pt>
                <c:pt idx="214">
                  <c:v>6.5</c:v>
                </c:pt>
                <c:pt idx="215">
                  <c:v>1.1000000000000001</c:v>
                </c:pt>
                <c:pt idx="216">
                  <c:v>3</c:v>
                </c:pt>
                <c:pt idx="217">
                  <c:v>1.5</c:v>
                </c:pt>
                <c:pt idx="218">
                  <c:v>1.44</c:v>
                </c:pt>
                <c:pt idx="219">
                  <c:v>3.09</c:v>
                </c:pt>
                <c:pt idx="220">
                  <c:v>2.2000000000000002</c:v>
                </c:pt>
                <c:pt idx="221">
                  <c:v>3.48</c:v>
                </c:pt>
                <c:pt idx="222">
                  <c:v>1.92</c:v>
                </c:pt>
                <c:pt idx="223">
                  <c:v>3</c:v>
                </c:pt>
                <c:pt idx="224">
                  <c:v>1.58</c:v>
                </c:pt>
                <c:pt idx="225">
                  <c:v>2.5</c:v>
                </c:pt>
                <c:pt idx="226">
                  <c:v>2</c:v>
                </c:pt>
                <c:pt idx="227">
                  <c:v>3</c:v>
                </c:pt>
                <c:pt idx="228">
                  <c:v>2.72</c:v>
                </c:pt>
                <c:pt idx="229">
                  <c:v>2.88</c:v>
                </c:pt>
                <c:pt idx="230">
                  <c:v>2</c:v>
                </c:pt>
                <c:pt idx="231">
                  <c:v>3</c:v>
                </c:pt>
                <c:pt idx="232">
                  <c:v>3.39</c:v>
                </c:pt>
                <c:pt idx="233">
                  <c:v>1.47</c:v>
                </c:pt>
                <c:pt idx="234">
                  <c:v>3</c:v>
                </c:pt>
                <c:pt idx="235">
                  <c:v>1.25</c:v>
                </c:pt>
                <c:pt idx="236">
                  <c:v>1</c:v>
                </c:pt>
                <c:pt idx="237">
                  <c:v>1.17</c:v>
                </c:pt>
                <c:pt idx="238">
                  <c:v>4.67</c:v>
                </c:pt>
                <c:pt idx="239">
                  <c:v>5.92</c:v>
                </c:pt>
                <c:pt idx="240">
                  <c:v>2</c:v>
                </c:pt>
                <c:pt idx="241">
                  <c:v>2</c:v>
                </c:pt>
                <c:pt idx="242">
                  <c:v>1.75</c:v>
                </c:pt>
                <c:pt idx="243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AD-475A-8DE6-BE7A937C5421}"/>
            </c:ext>
          </c:extLst>
        </c:ser>
        <c:ser>
          <c:idx val="1"/>
          <c:order val="1"/>
          <c:tx>
            <c:v>Прямая регрессии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tip!$X$247:$X$248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xVal>
          <c:yVal>
            <c:numRef>
              <c:f>tip!$Y$247:$Y$248</c:f>
              <c:numCache>
                <c:formatCode>General</c:formatCode>
                <c:ptCount val="2"/>
                <c:pt idx="0">
                  <c:v>0.92026961355467307</c:v>
                </c:pt>
                <c:pt idx="1">
                  <c:v>7.2217406566158751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AD-475A-8DE6-BE7A937C5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790047"/>
        <c:axId val="469773247"/>
      </c:scatterChart>
      <c:valAx>
        <c:axId val="46979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773247"/>
        <c:crosses val="autoZero"/>
        <c:crossBetween val="midCat"/>
      </c:valAx>
      <c:valAx>
        <c:axId val="46977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6979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320675</xdr:colOff>
      <xdr:row>251</xdr:row>
      <xdr:rowOff>3175</xdr:rowOff>
    </xdr:from>
    <xdr:to>
      <xdr:col>27</xdr:col>
      <xdr:colOff>536575</xdr:colOff>
      <xdr:row>265</xdr:row>
      <xdr:rowOff>174625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39E79B9-25C1-412D-B277-37BE7877E3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E8C3EE-1A24-4B04-B56B-2D1E9AD94EAC}" autoFormatId="16" applyNumberFormats="0" applyBorderFormats="0" applyFontFormats="0" applyPatternFormats="0" applyAlignmentFormats="0" applyWidthHeightFormats="0">
  <queryTableRefresh nextId="8">
    <queryTableFields count="7">
      <queryTableField id="1" name="total_bill" tableColumnId="1"/>
      <queryTableField id="2" name="tip" tableColumnId="2"/>
      <queryTableField id="3" name="sex" tableColumnId="3"/>
      <queryTableField id="4" name="smoker" tableColumnId="4"/>
      <queryTableField id="5" name="day" tableColumnId="5"/>
      <queryTableField id="6" name="time" tableColumnId="6"/>
      <queryTableField id="7" name="siz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2F9A8-5B23-4A04-B8A2-6CB1E15498DF}" name="tip" displayName="tip" ref="A1:G245" tableType="queryTable" totalsRowShown="0">
  <autoFilter ref="A1:G245" xr:uid="{8EA2F9A8-5B23-4A04-B8A2-6CB1E15498DF}"/>
  <tableColumns count="7">
    <tableColumn id="1" xr3:uid="{B398E0CF-E7E6-4794-B839-514B91E66AFD}" uniqueName="1" name="total_bill" queryTableFieldId="1" dataDxfId="11"/>
    <tableColumn id="2" xr3:uid="{2610FD6B-857B-4E0E-8A79-AA2DA292D932}" uniqueName="2" name="tip" queryTableFieldId="2" dataDxfId="10"/>
    <tableColumn id="3" xr3:uid="{5C9289F9-BEDE-4D2D-B302-BB3F9F79B4E7}" uniqueName="3" name="sex" queryTableFieldId="3" dataDxfId="9"/>
    <tableColumn id="4" xr3:uid="{3296C1B1-5476-4948-81A5-19889B8DE8AA}" uniqueName="4" name="smoker" queryTableFieldId="4" dataDxfId="8"/>
    <tableColumn id="5" xr3:uid="{94D5143C-C231-469C-B61B-9D38D2ECFC9E}" uniqueName="5" name="day" queryTableFieldId="5" dataDxfId="7"/>
    <tableColumn id="6" xr3:uid="{88EA42A2-E037-4E28-A5CC-EECA85A6C1B7}" uniqueName="6" name="time" queryTableFieldId="6" dataDxfId="6"/>
    <tableColumn id="7" xr3:uid="{CADEA715-90F9-4229-AF09-6A0FC3766F0B}" uniqueName="7" name="siz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F2C681-6466-4CBA-B3B8-D91B707267E5}" name="Таблица4" displayName="Таблица4" ref="J1:K245" totalsRowShown="0">
  <autoFilter ref="J1:K245" xr:uid="{82F2C681-6466-4CBA-B3B8-D91B707267E5}"/>
  <tableColumns count="2">
    <tableColumn id="1" xr3:uid="{1DDFCF06-39E8-4524-AFE1-F9B0791A9494}" name="total_bill" dataDxfId="5"/>
    <tableColumn id="2" xr3:uid="{3AB87506-77A1-43CA-8575-8721A87AC062}" name="tip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C1AA4A-C3B6-441F-AAE4-CDEC7158CB51}" name="Таблица5" displayName="Таблица5" ref="M1:P245" totalsRowShown="0">
  <autoFilter ref="M1:P245" xr:uid="{2FC1AA4A-C3B6-441F-AAE4-CDEC7158CB51}"/>
  <tableColumns count="4">
    <tableColumn id="1" xr3:uid="{77C0720D-049C-4377-AAA3-8A19F82F87F8}" name="Xi" dataDxfId="3"/>
    <tableColumn id="2" xr3:uid="{46CADEBC-DB19-46AB-A985-87D76FE3D884}" name="Xi - Xср">
      <calculatedColumnFormula>M2-$J$247</calculatedColumnFormula>
    </tableColumn>
    <tableColumn id="3" xr3:uid="{D65228F6-D035-42F8-B76B-78D3BB43C927}" name="(Xi - Xср)^2">
      <calculatedColumnFormula>N2^2</calculatedColumnFormula>
    </tableColumn>
    <tableColumn id="4" xr3:uid="{24232717-326E-4EA2-806F-3128AC31F022}" name="Xi^2" dataDxfId="2">
      <calculatedColumnFormula>Таблица5[[#This Row],[Xi]]^2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9A1CD7-5C9C-4154-A346-20475F25B4C1}" name="Таблица6" displayName="Таблица6" ref="R1:U245" totalsRowShown="0">
  <autoFilter ref="R1:U245" xr:uid="{8E9A1CD7-5C9C-4154-A346-20475F25B4C1}"/>
  <tableColumns count="4">
    <tableColumn id="1" xr3:uid="{A561220A-76F3-4B59-95B4-A41A7302A1F5}" name="Yi" dataDxfId="1"/>
    <tableColumn id="2" xr3:uid="{C3200CE1-9CBD-4404-AF43-03E3770F8443}" name="Yi - Yср">
      <calculatedColumnFormula>R2-$J$248</calculatedColumnFormula>
    </tableColumn>
    <tableColumn id="3" xr3:uid="{67161F71-7420-4F01-9ECC-90F5E5293CDB}" name="(Yi - Yср)^2">
      <calculatedColumnFormula>S2^2</calculatedColumnFormula>
    </tableColumn>
    <tableColumn id="4" xr3:uid="{319F0987-933E-49DC-BC29-F8519F2861CE}" name="Yi^2" dataDxfId="0">
      <calculatedColumnFormula>Таблица6[[#This Row],[Yi]]^2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0B3931-E8F7-448F-911D-B8E35F65E918}" name="Таблица8" displayName="Таблица8" ref="W1:W245" totalsRowShown="0">
  <autoFilter ref="W1:W245" xr:uid="{A40B3931-E8F7-448F-911D-B8E35F65E918}"/>
  <tableColumns count="1">
    <tableColumn id="1" xr3:uid="{490E991C-1EDB-4CDE-8CAE-77DBF56F0984}" name="Yi * Xi">
      <calculatedColumnFormula>Таблица5[[#This Row],[Xi]]*Таблица6[[#This Row],[Yi]]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95CA-1C98-4A8E-B9D8-A0695FB47393}">
  <dimension ref="A1:Y255"/>
  <sheetViews>
    <sheetView tabSelected="1" topLeftCell="A187" zoomScale="40" zoomScaleNormal="40" workbookViewId="0">
      <selection activeCell="AE229" sqref="AE229"/>
    </sheetView>
  </sheetViews>
  <sheetFormatPr defaultRowHeight="15" x14ac:dyDescent="0.25"/>
  <cols>
    <col min="1" max="1" width="11.28515625" bestFit="1" customWidth="1"/>
    <col min="2" max="2" width="5.7109375" bestFit="1" customWidth="1"/>
    <col min="3" max="3" width="7.5703125" bestFit="1" customWidth="1"/>
    <col min="4" max="4" width="9.85546875" bestFit="1" customWidth="1"/>
    <col min="5" max="5" width="6.42578125" bestFit="1" customWidth="1"/>
    <col min="6" max="6" width="7.42578125" bestFit="1" customWidth="1"/>
    <col min="7" max="7" width="6.7109375" bestFit="1" customWidth="1"/>
    <col min="10" max="10" width="11.28515625" bestFit="1" customWidth="1"/>
    <col min="11" max="11" width="5.7109375" bestFit="1" customWidth="1"/>
    <col min="14" max="14" width="9.5703125" customWidth="1"/>
    <col min="15" max="15" width="13" customWidth="1"/>
    <col min="18" max="18" width="9.28515625" customWidth="1"/>
    <col min="19" max="19" width="12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0</v>
      </c>
      <c r="K1" t="s">
        <v>1</v>
      </c>
      <c r="M1" t="s">
        <v>370</v>
      </c>
      <c r="N1" t="s">
        <v>371</v>
      </c>
      <c r="O1" t="s">
        <v>372</v>
      </c>
      <c r="P1" t="s">
        <v>381</v>
      </c>
      <c r="R1" t="s">
        <v>376</v>
      </c>
      <c r="S1" t="s">
        <v>377</v>
      </c>
      <c r="T1" t="s">
        <v>378</v>
      </c>
      <c r="U1" t="s">
        <v>382</v>
      </c>
      <c r="W1" t="s">
        <v>383</v>
      </c>
    </row>
    <row r="2" spans="1:23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J2">
        <v>16.989999999999998</v>
      </c>
      <c r="K2">
        <v>1.01</v>
      </c>
      <c r="M2" s="1">
        <v>16.989999999999998</v>
      </c>
      <c r="N2">
        <f>M2-$J$247</f>
        <v>-2.7959426229508253</v>
      </c>
      <c r="O2">
        <f>N2^2</f>
        <v>7.8172951508331412</v>
      </c>
      <c r="P2">
        <f>Таблица5[[#This Row],[Xi]]^2</f>
        <v>288.66009999999994</v>
      </c>
      <c r="R2" s="3">
        <v>1.01</v>
      </c>
      <c r="S2">
        <f>R2-$J$248</f>
        <v>-1.9882786885245902</v>
      </c>
      <c r="T2">
        <f>S2^2</f>
        <v>3.9532521432410643</v>
      </c>
      <c r="U2">
        <f>Таблица6[[#This Row],[Yi]]^2</f>
        <v>1.0201</v>
      </c>
      <c r="W2">
        <f>Таблица5[[#This Row],[Xi]]*Таблица6[[#This Row],[Yi]]</f>
        <v>17.159899999999997</v>
      </c>
    </row>
    <row r="3" spans="1:23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>
        <v>3</v>
      </c>
      <c r="J3">
        <v>10.34</v>
      </c>
      <c r="K3">
        <v>1.66</v>
      </c>
      <c r="M3" s="2">
        <v>10.34</v>
      </c>
      <c r="N3">
        <f t="shared" ref="N3:N66" si="0">M3-$J$247</f>
        <v>-9.4459426229508239</v>
      </c>
      <c r="O3">
        <f t="shared" ref="O3:O66" si="1">N3^2</f>
        <v>89.225832036079083</v>
      </c>
      <c r="P3">
        <f>Таблица5[[#This Row],[Xi]]^2</f>
        <v>106.9156</v>
      </c>
      <c r="R3" s="4">
        <v>1.66</v>
      </c>
      <c r="S3">
        <f t="shared" ref="S3:S66" si="2">R3-$J$248</f>
        <v>-1.3382786885245903</v>
      </c>
      <c r="T3">
        <f t="shared" ref="T3:T66" si="3">S3^2</f>
        <v>1.7909898481590973</v>
      </c>
      <c r="U3">
        <f>Таблица6[[#This Row],[Yi]]^2</f>
        <v>2.7555999999999998</v>
      </c>
      <c r="W3">
        <f>Таблица5[[#This Row],[Xi]]*Таблица6[[#This Row],[Yi]]</f>
        <v>17.164400000000001</v>
      </c>
    </row>
    <row r="4" spans="1:23" x14ac:dyDescent="0.25">
      <c r="A4" t="s">
        <v>16</v>
      </c>
      <c r="B4" t="s">
        <v>17</v>
      </c>
      <c r="C4" t="s">
        <v>15</v>
      </c>
      <c r="D4" t="s">
        <v>10</v>
      </c>
      <c r="E4" t="s">
        <v>11</v>
      </c>
      <c r="F4" t="s">
        <v>12</v>
      </c>
      <c r="G4">
        <v>3</v>
      </c>
      <c r="J4">
        <v>21.01</v>
      </c>
      <c r="K4">
        <v>3.5</v>
      </c>
      <c r="M4" s="1">
        <v>21.01</v>
      </c>
      <c r="N4">
        <f t="shared" si="0"/>
        <v>1.2240573770491778</v>
      </c>
      <c r="O4">
        <f t="shared" si="1"/>
        <v>1.498316462308513</v>
      </c>
      <c r="P4">
        <f>Таблица5[[#This Row],[Xi]]^2</f>
        <v>441.42010000000005</v>
      </c>
      <c r="R4" s="3">
        <v>3.5</v>
      </c>
      <c r="S4">
        <f t="shared" si="2"/>
        <v>0.50172131147540977</v>
      </c>
      <c r="T4">
        <f t="shared" si="3"/>
        <v>0.25172427438860517</v>
      </c>
      <c r="U4">
        <f>Таблица6[[#This Row],[Yi]]^2</f>
        <v>12.25</v>
      </c>
      <c r="W4">
        <f>Таблица5[[#This Row],[Xi]]*Таблица6[[#This Row],[Yi]]</f>
        <v>73.535000000000011</v>
      </c>
    </row>
    <row r="5" spans="1:23" x14ac:dyDescent="0.25">
      <c r="A5" t="s">
        <v>18</v>
      </c>
      <c r="B5" t="s">
        <v>19</v>
      </c>
      <c r="C5" t="s">
        <v>15</v>
      </c>
      <c r="D5" t="s">
        <v>10</v>
      </c>
      <c r="E5" t="s">
        <v>11</v>
      </c>
      <c r="F5" t="s">
        <v>12</v>
      </c>
      <c r="G5">
        <v>2</v>
      </c>
      <c r="J5">
        <v>23.68</v>
      </c>
      <c r="K5">
        <v>3.31</v>
      </c>
      <c r="M5" s="2">
        <v>23.68</v>
      </c>
      <c r="N5">
        <f t="shared" si="0"/>
        <v>3.894057377049176</v>
      </c>
      <c r="O5">
        <f t="shared" si="1"/>
        <v>15.163682855751109</v>
      </c>
      <c r="P5">
        <f>Таблица5[[#This Row],[Xi]]^2</f>
        <v>560.74239999999998</v>
      </c>
      <c r="R5" s="4">
        <v>3.31</v>
      </c>
      <c r="S5">
        <f t="shared" si="2"/>
        <v>0.31172131147540982</v>
      </c>
      <c r="T5">
        <f t="shared" si="3"/>
        <v>9.7170176027949473E-2</v>
      </c>
      <c r="U5">
        <f>Таблица6[[#This Row],[Yi]]^2</f>
        <v>10.956100000000001</v>
      </c>
      <c r="W5">
        <f>Таблица5[[#This Row],[Xi]]*Таблица6[[#This Row],[Yi]]</f>
        <v>78.380799999999994</v>
      </c>
    </row>
    <row r="6" spans="1:23" x14ac:dyDescent="0.25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12</v>
      </c>
      <c r="G6">
        <v>4</v>
      </c>
      <c r="J6">
        <v>24.59</v>
      </c>
      <c r="K6">
        <v>3.61</v>
      </c>
      <c r="M6" s="1">
        <v>24.59</v>
      </c>
      <c r="N6">
        <f t="shared" si="0"/>
        <v>4.8040573770491761</v>
      </c>
      <c r="O6">
        <f t="shared" si="1"/>
        <v>23.07896728198061</v>
      </c>
      <c r="P6">
        <f>Таблица5[[#This Row],[Xi]]^2</f>
        <v>604.66809999999998</v>
      </c>
      <c r="R6" s="3">
        <v>3.61</v>
      </c>
      <c r="S6">
        <f t="shared" si="2"/>
        <v>0.61172131147540965</v>
      </c>
      <c r="T6">
        <f t="shared" si="3"/>
        <v>0.37420296291319516</v>
      </c>
      <c r="U6">
        <f>Таблица6[[#This Row],[Yi]]^2</f>
        <v>13.0321</v>
      </c>
      <c r="W6">
        <f>Таблица5[[#This Row],[Xi]]*Таблица6[[#This Row],[Yi]]</f>
        <v>88.769899999999993</v>
      </c>
    </row>
    <row r="7" spans="1:23" x14ac:dyDescent="0.25">
      <c r="A7" t="s">
        <v>22</v>
      </c>
      <c r="B7" t="s">
        <v>23</v>
      </c>
      <c r="C7" t="s">
        <v>15</v>
      </c>
      <c r="D7" t="s">
        <v>10</v>
      </c>
      <c r="E7" t="s">
        <v>11</v>
      </c>
      <c r="F7" t="s">
        <v>12</v>
      </c>
      <c r="G7">
        <v>4</v>
      </c>
      <c r="J7">
        <v>25.29</v>
      </c>
      <c r="K7">
        <v>4.71</v>
      </c>
      <c r="M7" s="2">
        <v>25.29</v>
      </c>
      <c r="N7">
        <f t="shared" si="0"/>
        <v>5.5040573770491754</v>
      </c>
      <c r="O7">
        <f t="shared" si="1"/>
        <v>30.294647609849449</v>
      </c>
      <c r="P7">
        <f>Таблица5[[#This Row],[Xi]]^2</f>
        <v>639.58409999999992</v>
      </c>
      <c r="R7" s="4">
        <v>4.71</v>
      </c>
      <c r="S7">
        <f t="shared" si="2"/>
        <v>1.7117213114754097</v>
      </c>
      <c r="T7">
        <f t="shared" si="3"/>
        <v>2.9299898481590967</v>
      </c>
      <c r="U7">
        <f>Таблица6[[#This Row],[Yi]]^2</f>
        <v>22.184100000000001</v>
      </c>
      <c r="W7">
        <f>Таблица5[[#This Row],[Xi]]*Таблица6[[#This Row],[Yi]]</f>
        <v>119.1159</v>
      </c>
    </row>
    <row r="8" spans="1:23" x14ac:dyDescent="0.25">
      <c r="A8" t="s">
        <v>24</v>
      </c>
      <c r="B8" t="s">
        <v>25</v>
      </c>
      <c r="C8" t="s">
        <v>15</v>
      </c>
      <c r="D8" t="s">
        <v>10</v>
      </c>
      <c r="E8" t="s">
        <v>11</v>
      </c>
      <c r="F8" t="s">
        <v>12</v>
      </c>
      <c r="G8">
        <v>2</v>
      </c>
      <c r="J8">
        <v>8.77</v>
      </c>
      <c r="K8">
        <v>2</v>
      </c>
      <c r="M8" s="1">
        <v>8.77</v>
      </c>
      <c r="N8">
        <f t="shared" si="0"/>
        <v>-11.015942622950824</v>
      </c>
      <c r="O8">
        <f t="shared" si="1"/>
        <v>121.35099187214469</v>
      </c>
      <c r="P8">
        <f>Таблица5[[#This Row],[Xi]]^2</f>
        <v>76.912899999999993</v>
      </c>
      <c r="R8" s="3">
        <v>2</v>
      </c>
      <c r="S8">
        <f t="shared" si="2"/>
        <v>-0.99827868852459023</v>
      </c>
      <c r="T8">
        <f t="shared" si="3"/>
        <v>0.99656033996237581</v>
      </c>
      <c r="U8">
        <f>Таблица6[[#This Row],[Yi]]^2</f>
        <v>4</v>
      </c>
      <c r="W8">
        <f>Таблица5[[#This Row],[Xi]]*Таблица6[[#This Row],[Yi]]</f>
        <v>17.54</v>
      </c>
    </row>
    <row r="9" spans="1:23" x14ac:dyDescent="0.25">
      <c r="A9" t="s">
        <v>26</v>
      </c>
      <c r="B9" t="s">
        <v>27</v>
      </c>
      <c r="C9" t="s">
        <v>15</v>
      </c>
      <c r="D9" t="s">
        <v>10</v>
      </c>
      <c r="E9" t="s">
        <v>11</v>
      </c>
      <c r="F9" t="s">
        <v>12</v>
      </c>
      <c r="G9">
        <v>4</v>
      </c>
      <c r="J9">
        <v>26.88</v>
      </c>
      <c r="K9">
        <v>3.12</v>
      </c>
      <c r="M9" s="2">
        <v>26.88</v>
      </c>
      <c r="N9">
        <f t="shared" si="0"/>
        <v>7.0940573770491753</v>
      </c>
      <c r="O9">
        <f t="shared" si="1"/>
        <v>50.325650068865826</v>
      </c>
      <c r="P9">
        <f>Таблица5[[#This Row],[Xi]]^2</f>
        <v>722.53439999999989</v>
      </c>
      <c r="R9" s="4">
        <v>3.12</v>
      </c>
      <c r="S9">
        <f t="shared" si="2"/>
        <v>0.12172131147540988</v>
      </c>
      <c r="T9">
        <f t="shared" si="3"/>
        <v>1.4816077667293748E-2</v>
      </c>
      <c r="U9">
        <f>Таблица6[[#This Row],[Yi]]^2</f>
        <v>9.7344000000000008</v>
      </c>
      <c r="W9">
        <f>Таблица5[[#This Row],[Xi]]*Таблица6[[#This Row],[Yi]]</f>
        <v>83.865600000000001</v>
      </c>
    </row>
    <row r="10" spans="1:23" x14ac:dyDescent="0.25">
      <c r="A10" t="s">
        <v>28</v>
      </c>
      <c r="B10" t="s">
        <v>29</v>
      </c>
      <c r="C10" t="s">
        <v>15</v>
      </c>
      <c r="D10" t="s">
        <v>10</v>
      </c>
      <c r="E10" t="s">
        <v>11</v>
      </c>
      <c r="F10" t="s">
        <v>12</v>
      </c>
      <c r="G10">
        <v>2</v>
      </c>
      <c r="J10">
        <v>15.04</v>
      </c>
      <c r="K10">
        <v>1.96</v>
      </c>
      <c r="M10" s="1">
        <v>15.04</v>
      </c>
      <c r="N10">
        <f t="shared" si="0"/>
        <v>-4.7459426229508246</v>
      </c>
      <c r="O10">
        <f t="shared" si="1"/>
        <v>22.523971380341354</v>
      </c>
      <c r="P10">
        <f>Таблица5[[#This Row],[Xi]]^2</f>
        <v>226.20159999999998</v>
      </c>
      <c r="R10" s="3">
        <v>1.96</v>
      </c>
      <c r="S10">
        <f t="shared" si="2"/>
        <v>-1.0382786885245903</v>
      </c>
      <c r="T10">
        <f t="shared" si="3"/>
        <v>1.0780226350443431</v>
      </c>
      <c r="U10">
        <f>Таблица6[[#This Row],[Yi]]^2</f>
        <v>3.8415999999999997</v>
      </c>
      <c r="W10">
        <f>Таблица5[[#This Row],[Xi]]*Таблица6[[#This Row],[Yi]]</f>
        <v>29.478399999999997</v>
      </c>
    </row>
    <row r="11" spans="1:23" x14ac:dyDescent="0.25">
      <c r="A11" t="s">
        <v>30</v>
      </c>
      <c r="B11" t="s">
        <v>31</v>
      </c>
      <c r="C11" t="s">
        <v>15</v>
      </c>
      <c r="D11" t="s">
        <v>10</v>
      </c>
      <c r="E11" t="s">
        <v>11</v>
      </c>
      <c r="F11" t="s">
        <v>12</v>
      </c>
      <c r="G11">
        <v>2</v>
      </c>
      <c r="J11">
        <v>14.78</v>
      </c>
      <c r="K11">
        <v>3.23</v>
      </c>
      <c r="M11" s="2">
        <v>14.78</v>
      </c>
      <c r="N11">
        <f t="shared" si="0"/>
        <v>-5.0059426229508244</v>
      </c>
      <c r="O11">
        <f t="shared" si="1"/>
        <v>25.059461544275781</v>
      </c>
      <c r="P11">
        <f>Таблица5[[#This Row],[Xi]]^2</f>
        <v>218.44839999999999</v>
      </c>
      <c r="R11" s="4">
        <v>3.23</v>
      </c>
      <c r="S11">
        <f t="shared" si="2"/>
        <v>0.23172131147540975</v>
      </c>
      <c r="T11">
        <f t="shared" si="3"/>
        <v>5.3694766191883861E-2</v>
      </c>
      <c r="U11">
        <f>Таблица6[[#This Row],[Yi]]^2</f>
        <v>10.4329</v>
      </c>
      <c r="W11">
        <f>Таблица5[[#This Row],[Xi]]*Таблица6[[#This Row],[Yi]]</f>
        <v>47.739399999999996</v>
      </c>
    </row>
    <row r="12" spans="1:23" x14ac:dyDescent="0.25">
      <c r="A12" t="s">
        <v>32</v>
      </c>
      <c r="B12" t="s">
        <v>33</v>
      </c>
      <c r="C12" t="s">
        <v>15</v>
      </c>
      <c r="D12" t="s">
        <v>10</v>
      </c>
      <c r="E12" t="s">
        <v>11</v>
      </c>
      <c r="F12" t="s">
        <v>12</v>
      </c>
      <c r="G12">
        <v>2</v>
      </c>
      <c r="J12">
        <v>10.27</v>
      </c>
      <c r="K12">
        <v>1.71</v>
      </c>
      <c r="M12" s="1">
        <v>10.27</v>
      </c>
      <c r="N12">
        <f t="shared" si="0"/>
        <v>-9.5159426229508242</v>
      </c>
      <c r="O12">
        <f t="shared" si="1"/>
        <v>90.55316400329221</v>
      </c>
      <c r="P12">
        <f>Таблица5[[#This Row],[Xi]]^2</f>
        <v>105.4729</v>
      </c>
      <c r="R12" s="3">
        <v>1.71</v>
      </c>
      <c r="S12">
        <f t="shared" si="2"/>
        <v>-1.2882786885245903</v>
      </c>
      <c r="T12">
        <f t="shared" si="3"/>
        <v>1.6596619793066383</v>
      </c>
      <c r="U12">
        <f>Таблица6[[#This Row],[Yi]]^2</f>
        <v>2.9240999999999997</v>
      </c>
      <c r="W12">
        <f>Таблица5[[#This Row],[Xi]]*Таблица6[[#This Row],[Yi]]</f>
        <v>17.561699999999998</v>
      </c>
    </row>
    <row r="13" spans="1:23" x14ac:dyDescent="0.25">
      <c r="A13" t="s">
        <v>34</v>
      </c>
      <c r="B13" t="s">
        <v>35</v>
      </c>
      <c r="C13" t="s">
        <v>9</v>
      </c>
      <c r="D13" t="s">
        <v>10</v>
      </c>
      <c r="E13" t="s">
        <v>11</v>
      </c>
      <c r="F13" t="s">
        <v>12</v>
      </c>
      <c r="G13">
        <v>4</v>
      </c>
      <c r="J13">
        <v>35.26</v>
      </c>
      <c r="K13">
        <v>5</v>
      </c>
      <c r="M13" s="2">
        <v>35.26</v>
      </c>
      <c r="N13">
        <f t="shared" si="0"/>
        <v>15.474057377049174</v>
      </c>
      <c r="O13">
        <f t="shared" si="1"/>
        <v>239.44645170820996</v>
      </c>
      <c r="P13">
        <f>Таблица5[[#This Row],[Xi]]^2</f>
        <v>1243.2675999999999</v>
      </c>
      <c r="R13" s="4">
        <v>5</v>
      </c>
      <c r="S13">
        <f t="shared" si="2"/>
        <v>2.0017213114754098</v>
      </c>
      <c r="T13">
        <f t="shared" si="3"/>
        <v>4.0068882088148348</v>
      </c>
      <c r="U13">
        <f>Таблица6[[#This Row],[Yi]]^2</f>
        <v>25</v>
      </c>
      <c r="W13">
        <f>Таблица5[[#This Row],[Xi]]*Таблица6[[#This Row],[Yi]]</f>
        <v>176.29999999999998</v>
      </c>
    </row>
    <row r="14" spans="1:23" x14ac:dyDescent="0.25">
      <c r="A14" t="s">
        <v>36</v>
      </c>
      <c r="B14" t="s">
        <v>37</v>
      </c>
      <c r="C14" t="s">
        <v>15</v>
      </c>
      <c r="D14" t="s">
        <v>10</v>
      </c>
      <c r="E14" t="s">
        <v>11</v>
      </c>
      <c r="F14" t="s">
        <v>12</v>
      </c>
      <c r="G14">
        <v>2</v>
      </c>
      <c r="J14">
        <v>15.42</v>
      </c>
      <c r="K14">
        <v>1.57</v>
      </c>
      <c r="M14" s="1">
        <v>15.42</v>
      </c>
      <c r="N14">
        <f t="shared" si="0"/>
        <v>-4.3659426229508238</v>
      </c>
      <c r="O14">
        <f t="shared" si="1"/>
        <v>19.06145498689872</v>
      </c>
      <c r="P14">
        <f>Таблица5[[#This Row],[Xi]]^2</f>
        <v>237.7764</v>
      </c>
      <c r="R14" s="3">
        <v>1.57</v>
      </c>
      <c r="S14">
        <f t="shared" si="2"/>
        <v>-1.4282786885245902</v>
      </c>
      <c r="T14">
        <f t="shared" si="3"/>
        <v>2.0399800120935234</v>
      </c>
      <c r="U14">
        <f>Таблица6[[#This Row],[Yi]]^2</f>
        <v>2.4649000000000001</v>
      </c>
      <c r="W14">
        <f>Таблица5[[#This Row],[Xi]]*Таблица6[[#This Row],[Yi]]</f>
        <v>24.209400000000002</v>
      </c>
    </row>
    <row r="15" spans="1:23" x14ac:dyDescent="0.25">
      <c r="A15" t="s">
        <v>38</v>
      </c>
      <c r="B15" t="s">
        <v>39</v>
      </c>
      <c r="C15" t="s">
        <v>15</v>
      </c>
      <c r="D15" t="s">
        <v>10</v>
      </c>
      <c r="E15" t="s">
        <v>11</v>
      </c>
      <c r="F15" t="s">
        <v>12</v>
      </c>
      <c r="G15">
        <v>4</v>
      </c>
      <c r="J15">
        <v>18.43</v>
      </c>
      <c r="K15">
        <v>3</v>
      </c>
      <c r="M15" s="2">
        <v>18.43</v>
      </c>
      <c r="N15">
        <f t="shared" si="0"/>
        <v>-1.355942622950824</v>
      </c>
      <c r="O15">
        <f t="shared" si="1"/>
        <v>1.8385803967347605</v>
      </c>
      <c r="P15">
        <f>Таблица5[[#This Row],[Xi]]^2</f>
        <v>339.66489999999999</v>
      </c>
      <c r="R15" s="4">
        <v>3</v>
      </c>
      <c r="S15">
        <f t="shared" si="2"/>
        <v>1.7213114754097703E-3</v>
      </c>
      <c r="T15">
        <f t="shared" si="3"/>
        <v>2.9629131953773601E-6</v>
      </c>
      <c r="U15">
        <f>Таблица6[[#This Row],[Yi]]^2</f>
        <v>9</v>
      </c>
      <c r="W15">
        <f>Таблица5[[#This Row],[Xi]]*Таблица6[[#This Row],[Yi]]</f>
        <v>55.29</v>
      </c>
    </row>
    <row r="16" spans="1:23" x14ac:dyDescent="0.25">
      <c r="A16" t="s">
        <v>40</v>
      </c>
      <c r="B16" t="s">
        <v>41</v>
      </c>
      <c r="C16" t="s">
        <v>9</v>
      </c>
      <c r="D16" t="s">
        <v>10</v>
      </c>
      <c r="E16" t="s">
        <v>11</v>
      </c>
      <c r="F16" t="s">
        <v>12</v>
      </c>
      <c r="G16">
        <v>2</v>
      </c>
      <c r="J16">
        <v>14.83</v>
      </c>
      <c r="K16">
        <v>3.02</v>
      </c>
      <c r="M16" s="1">
        <v>14.83</v>
      </c>
      <c r="N16">
        <f t="shared" si="0"/>
        <v>-4.9559426229508237</v>
      </c>
      <c r="O16">
        <f t="shared" si="1"/>
        <v>24.56136728198069</v>
      </c>
      <c r="P16">
        <f>Таблица5[[#This Row],[Xi]]^2</f>
        <v>219.9289</v>
      </c>
      <c r="R16" s="3">
        <v>3.02</v>
      </c>
      <c r="S16">
        <f t="shared" si="2"/>
        <v>2.1721311475409788E-2</v>
      </c>
      <c r="T16">
        <f t="shared" si="3"/>
        <v>4.7181537221176894E-4</v>
      </c>
      <c r="U16">
        <f>Таблица6[[#This Row],[Yi]]^2</f>
        <v>9.1204000000000001</v>
      </c>
      <c r="W16">
        <f>Таблица5[[#This Row],[Xi]]*Таблица6[[#This Row],[Yi]]</f>
        <v>44.7866</v>
      </c>
    </row>
    <row r="17" spans="1:23" x14ac:dyDescent="0.25">
      <c r="A17" t="s">
        <v>42</v>
      </c>
      <c r="B17" t="s">
        <v>43</v>
      </c>
      <c r="C17" t="s">
        <v>15</v>
      </c>
      <c r="D17" t="s">
        <v>10</v>
      </c>
      <c r="E17" t="s">
        <v>11</v>
      </c>
      <c r="F17" t="s">
        <v>12</v>
      </c>
      <c r="G17">
        <v>2</v>
      </c>
      <c r="J17">
        <v>21.58</v>
      </c>
      <c r="K17">
        <v>3.92</v>
      </c>
      <c r="M17" s="2">
        <v>21.58</v>
      </c>
      <c r="N17">
        <f t="shared" si="0"/>
        <v>1.7940573770491746</v>
      </c>
      <c r="O17">
        <f t="shared" si="1"/>
        <v>3.218641872144564</v>
      </c>
      <c r="P17">
        <f>Таблица5[[#This Row],[Xi]]^2</f>
        <v>465.69639999999993</v>
      </c>
      <c r="R17" s="4">
        <v>3.92</v>
      </c>
      <c r="S17">
        <f t="shared" si="2"/>
        <v>0.9217213114754097</v>
      </c>
      <c r="T17">
        <f t="shared" si="3"/>
        <v>0.84957017602794926</v>
      </c>
      <c r="U17">
        <f>Таблица6[[#This Row],[Yi]]^2</f>
        <v>15.366399999999999</v>
      </c>
      <c r="W17">
        <f>Таблица5[[#This Row],[Xi]]*Таблица6[[#This Row],[Yi]]</f>
        <v>84.593599999999995</v>
      </c>
    </row>
    <row r="18" spans="1:23" x14ac:dyDescent="0.25">
      <c r="A18" t="s">
        <v>44</v>
      </c>
      <c r="B18" t="s">
        <v>45</v>
      </c>
      <c r="C18" t="s">
        <v>9</v>
      </c>
      <c r="D18" t="s">
        <v>10</v>
      </c>
      <c r="E18" t="s">
        <v>11</v>
      </c>
      <c r="F18" t="s">
        <v>12</v>
      </c>
      <c r="G18">
        <v>3</v>
      </c>
      <c r="J18">
        <v>10.33</v>
      </c>
      <c r="K18">
        <v>1.67</v>
      </c>
      <c r="M18" s="1">
        <v>10.33</v>
      </c>
      <c r="N18">
        <f t="shared" si="0"/>
        <v>-9.4559426229508237</v>
      </c>
      <c r="O18">
        <f t="shared" si="1"/>
        <v>89.414850888538098</v>
      </c>
      <c r="P18">
        <f>Таблица5[[#This Row],[Xi]]^2</f>
        <v>106.7089</v>
      </c>
      <c r="R18" s="3">
        <v>1.67</v>
      </c>
      <c r="S18">
        <f t="shared" si="2"/>
        <v>-1.3282786885245903</v>
      </c>
      <c r="T18">
        <f t="shared" si="3"/>
        <v>1.7643242743886056</v>
      </c>
      <c r="U18">
        <f>Таблица6[[#This Row],[Yi]]^2</f>
        <v>2.7888999999999999</v>
      </c>
      <c r="W18">
        <f>Таблица5[[#This Row],[Xi]]*Таблица6[[#This Row],[Yi]]</f>
        <v>17.251100000000001</v>
      </c>
    </row>
    <row r="19" spans="1:23" x14ac:dyDescent="0.25">
      <c r="A19" t="s">
        <v>46</v>
      </c>
      <c r="B19" t="s">
        <v>47</v>
      </c>
      <c r="C19" t="s">
        <v>15</v>
      </c>
      <c r="D19" t="s">
        <v>10</v>
      </c>
      <c r="E19" t="s">
        <v>11</v>
      </c>
      <c r="F19" t="s">
        <v>12</v>
      </c>
      <c r="G19">
        <v>3</v>
      </c>
      <c r="J19">
        <v>16.29</v>
      </c>
      <c r="K19">
        <v>3.71</v>
      </c>
      <c r="M19" s="2">
        <v>16.29</v>
      </c>
      <c r="N19">
        <f t="shared" si="0"/>
        <v>-3.4959426229508246</v>
      </c>
      <c r="O19">
        <f t="shared" si="1"/>
        <v>12.221614822964291</v>
      </c>
      <c r="P19">
        <f>Таблица5[[#This Row],[Xi]]^2</f>
        <v>265.36409999999995</v>
      </c>
      <c r="R19" s="4">
        <v>3.71</v>
      </c>
      <c r="S19">
        <f t="shared" si="2"/>
        <v>0.71172131147540973</v>
      </c>
      <c r="T19">
        <f t="shared" si="3"/>
        <v>0.50654722520827722</v>
      </c>
      <c r="U19">
        <f>Таблица6[[#This Row],[Yi]]^2</f>
        <v>13.764099999999999</v>
      </c>
      <c r="W19">
        <f>Таблица5[[#This Row],[Xi]]*Таблица6[[#This Row],[Yi]]</f>
        <v>60.435899999999997</v>
      </c>
    </row>
    <row r="20" spans="1:23" x14ac:dyDescent="0.25">
      <c r="A20" t="s">
        <v>48</v>
      </c>
      <c r="B20" t="s">
        <v>17</v>
      </c>
      <c r="C20" t="s">
        <v>9</v>
      </c>
      <c r="D20" t="s">
        <v>10</v>
      </c>
      <c r="E20" t="s">
        <v>11</v>
      </c>
      <c r="F20" t="s">
        <v>12</v>
      </c>
      <c r="G20">
        <v>3</v>
      </c>
      <c r="J20">
        <v>16.97</v>
      </c>
      <c r="K20">
        <v>3.5</v>
      </c>
      <c r="M20" s="1">
        <v>16.97</v>
      </c>
      <c r="N20">
        <f t="shared" si="0"/>
        <v>-2.8159426229508249</v>
      </c>
      <c r="O20">
        <f t="shared" si="1"/>
        <v>7.9295328557511713</v>
      </c>
      <c r="P20">
        <f>Таблица5[[#This Row],[Xi]]^2</f>
        <v>287.98089999999996</v>
      </c>
      <c r="R20" s="3">
        <v>3.5</v>
      </c>
      <c r="S20">
        <f t="shared" si="2"/>
        <v>0.50172131147540977</v>
      </c>
      <c r="T20">
        <f t="shared" si="3"/>
        <v>0.25172427438860517</v>
      </c>
      <c r="U20">
        <f>Таблица6[[#This Row],[Yi]]^2</f>
        <v>12.25</v>
      </c>
      <c r="W20">
        <f>Таблица5[[#This Row],[Xi]]*Таблица6[[#This Row],[Yi]]</f>
        <v>59.394999999999996</v>
      </c>
    </row>
    <row r="21" spans="1:23" x14ac:dyDescent="0.25">
      <c r="A21" t="s">
        <v>49</v>
      </c>
      <c r="B21" t="s">
        <v>50</v>
      </c>
      <c r="C21" t="s">
        <v>15</v>
      </c>
      <c r="D21" t="s">
        <v>10</v>
      </c>
      <c r="E21" t="s">
        <v>51</v>
      </c>
      <c r="F21" t="s">
        <v>12</v>
      </c>
      <c r="G21">
        <v>3</v>
      </c>
      <c r="J21">
        <v>20.65</v>
      </c>
      <c r="K21">
        <v>3.35</v>
      </c>
      <c r="M21" s="2">
        <v>20.65</v>
      </c>
      <c r="N21">
        <f t="shared" si="0"/>
        <v>0.86405737704917485</v>
      </c>
      <c r="O21">
        <f t="shared" si="1"/>
        <v>0.74659515083309991</v>
      </c>
      <c r="P21">
        <f>Таблица5[[#This Row],[Xi]]^2</f>
        <v>426.42249999999996</v>
      </c>
      <c r="R21" s="4">
        <v>3.35</v>
      </c>
      <c r="S21">
        <f t="shared" si="2"/>
        <v>0.35172131147540986</v>
      </c>
      <c r="T21">
        <f t="shared" si="3"/>
        <v>0.12370788094598228</v>
      </c>
      <c r="U21">
        <f>Таблица6[[#This Row],[Yi]]^2</f>
        <v>11.2225</v>
      </c>
      <c r="W21">
        <f>Таблица5[[#This Row],[Xi]]*Таблица6[[#This Row],[Yi]]</f>
        <v>69.177499999999995</v>
      </c>
    </row>
    <row r="22" spans="1:23" x14ac:dyDescent="0.25">
      <c r="A22" t="s">
        <v>52</v>
      </c>
      <c r="B22" t="s">
        <v>53</v>
      </c>
      <c r="C22" t="s">
        <v>15</v>
      </c>
      <c r="D22" t="s">
        <v>10</v>
      </c>
      <c r="E22" t="s">
        <v>51</v>
      </c>
      <c r="F22" t="s">
        <v>12</v>
      </c>
      <c r="G22">
        <v>2</v>
      </c>
      <c r="J22">
        <v>17.920000000000002</v>
      </c>
      <c r="K22">
        <v>4.08</v>
      </c>
      <c r="M22" s="1">
        <v>17.920000000000002</v>
      </c>
      <c r="N22">
        <f t="shared" si="0"/>
        <v>-1.865942622950822</v>
      </c>
      <c r="O22">
        <f t="shared" si="1"/>
        <v>3.4817418721445934</v>
      </c>
      <c r="P22">
        <f>Таблица5[[#This Row],[Xi]]^2</f>
        <v>321.12640000000005</v>
      </c>
      <c r="R22" s="3">
        <v>4.08</v>
      </c>
      <c r="S22">
        <f t="shared" si="2"/>
        <v>1.0817213114754098</v>
      </c>
      <c r="T22">
        <f t="shared" si="3"/>
        <v>1.1701209957000807</v>
      </c>
      <c r="U22">
        <f>Таблица6[[#This Row],[Yi]]^2</f>
        <v>16.6464</v>
      </c>
      <c r="W22">
        <f>Таблица5[[#This Row],[Xi]]*Таблица6[[#This Row],[Yi]]</f>
        <v>73.113600000000005</v>
      </c>
    </row>
    <row r="23" spans="1:23" x14ac:dyDescent="0.25">
      <c r="A23" t="s">
        <v>54</v>
      </c>
      <c r="B23" t="s">
        <v>55</v>
      </c>
      <c r="C23" t="s">
        <v>9</v>
      </c>
      <c r="D23" t="s">
        <v>10</v>
      </c>
      <c r="E23" t="s">
        <v>51</v>
      </c>
      <c r="F23" t="s">
        <v>12</v>
      </c>
      <c r="G23">
        <v>2</v>
      </c>
      <c r="J23">
        <v>20.29</v>
      </c>
      <c r="K23">
        <v>2.75</v>
      </c>
      <c r="M23" s="2">
        <v>20.29</v>
      </c>
      <c r="N23">
        <f t="shared" si="0"/>
        <v>0.50405737704917541</v>
      </c>
      <c r="O23">
        <f t="shared" si="1"/>
        <v>0.25407383935769456</v>
      </c>
      <c r="P23">
        <f>Таблица5[[#This Row],[Xi]]^2</f>
        <v>411.68409999999994</v>
      </c>
      <c r="R23" s="4">
        <v>2.75</v>
      </c>
      <c r="S23">
        <f t="shared" si="2"/>
        <v>-0.24827868852459023</v>
      </c>
      <c r="T23">
        <f t="shared" si="3"/>
        <v>6.1642307175490491E-2</v>
      </c>
      <c r="U23">
        <f>Таблица6[[#This Row],[Yi]]^2</f>
        <v>7.5625</v>
      </c>
      <c r="W23">
        <f>Таблица5[[#This Row],[Xi]]*Таблица6[[#This Row],[Yi]]</f>
        <v>55.797499999999999</v>
      </c>
    </row>
    <row r="24" spans="1:23" x14ac:dyDescent="0.25">
      <c r="A24" t="s">
        <v>56</v>
      </c>
      <c r="B24" t="s">
        <v>57</v>
      </c>
      <c r="C24" t="s">
        <v>9</v>
      </c>
      <c r="D24" t="s">
        <v>10</v>
      </c>
      <c r="E24" t="s">
        <v>51</v>
      </c>
      <c r="F24" t="s">
        <v>12</v>
      </c>
      <c r="G24">
        <v>2</v>
      </c>
      <c r="J24">
        <v>15.77</v>
      </c>
      <c r="K24">
        <v>2.23</v>
      </c>
      <c r="M24" s="1">
        <v>15.77</v>
      </c>
      <c r="N24">
        <f t="shared" si="0"/>
        <v>-4.0159426229508242</v>
      </c>
      <c r="O24">
        <f t="shared" si="1"/>
        <v>16.127795150833144</v>
      </c>
      <c r="P24">
        <f>Таблица5[[#This Row],[Xi]]^2</f>
        <v>248.69289999999998</v>
      </c>
      <c r="R24" s="3">
        <v>2.23</v>
      </c>
      <c r="S24">
        <f t="shared" si="2"/>
        <v>-0.76827868852459025</v>
      </c>
      <c r="T24">
        <f t="shared" si="3"/>
        <v>0.59025214324106434</v>
      </c>
      <c r="U24">
        <f>Таблица6[[#This Row],[Yi]]^2</f>
        <v>4.9729000000000001</v>
      </c>
      <c r="W24">
        <f>Таблица5[[#This Row],[Xi]]*Таблица6[[#This Row],[Yi]]</f>
        <v>35.167099999999998</v>
      </c>
    </row>
    <row r="25" spans="1:23" x14ac:dyDescent="0.25">
      <c r="A25" t="s">
        <v>58</v>
      </c>
      <c r="B25" t="s">
        <v>59</v>
      </c>
      <c r="C25" t="s">
        <v>15</v>
      </c>
      <c r="D25" t="s">
        <v>10</v>
      </c>
      <c r="E25" t="s">
        <v>51</v>
      </c>
      <c r="F25" t="s">
        <v>12</v>
      </c>
      <c r="G25">
        <v>4</v>
      </c>
      <c r="J25">
        <v>39.42</v>
      </c>
      <c r="K25">
        <v>7.58</v>
      </c>
      <c r="M25" s="2">
        <v>39.42</v>
      </c>
      <c r="N25">
        <f t="shared" si="0"/>
        <v>19.634057377049178</v>
      </c>
      <c r="O25">
        <f t="shared" si="1"/>
        <v>385.49620908525924</v>
      </c>
      <c r="P25">
        <f>Таблица5[[#This Row],[Xi]]^2</f>
        <v>1553.9364</v>
      </c>
      <c r="R25" s="4">
        <v>7.58</v>
      </c>
      <c r="S25">
        <f t="shared" si="2"/>
        <v>4.5817213114754098</v>
      </c>
      <c r="T25">
        <f t="shared" si="3"/>
        <v>20.992170176027951</v>
      </c>
      <c r="U25">
        <f>Таблица6[[#This Row],[Yi]]^2</f>
        <v>57.456400000000002</v>
      </c>
      <c r="W25">
        <f>Таблица5[[#This Row],[Xi]]*Таблица6[[#This Row],[Yi]]</f>
        <v>298.80360000000002</v>
      </c>
    </row>
    <row r="26" spans="1:23" x14ac:dyDescent="0.25">
      <c r="A26" t="s">
        <v>60</v>
      </c>
      <c r="B26" t="s">
        <v>61</v>
      </c>
      <c r="C26" t="s">
        <v>15</v>
      </c>
      <c r="D26" t="s">
        <v>10</v>
      </c>
      <c r="E26" t="s">
        <v>51</v>
      </c>
      <c r="F26" t="s">
        <v>12</v>
      </c>
      <c r="G26">
        <v>2</v>
      </c>
      <c r="J26">
        <v>19.82</v>
      </c>
      <c r="K26">
        <v>3.18</v>
      </c>
      <c r="M26" s="1">
        <v>19.82</v>
      </c>
      <c r="N26">
        <f t="shared" si="0"/>
        <v>3.4057377049176552E-2</v>
      </c>
      <c r="O26">
        <f t="shared" si="1"/>
        <v>1.1599049314697776E-3</v>
      </c>
      <c r="P26">
        <f>Таблица5[[#This Row],[Xi]]^2</f>
        <v>392.83240000000001</v>
      </c>
      <c r="R26" s="3">
        <v>3.18</v>
      </c>
      <c r="S26">
        <f t="shared" si="2"/>
        <v>0.18172131147540993</v>
      </c>
      <c r="T26">
        <f t="shared" si="3"/>
        <v>3.3022635044342954E-2</v>
      </c>
      <c r="U26">
        <f>Таблица6[[#This Row],[Yi]]^2</f>
        <v>10.112400000000001</v>
      </c>
      <c r="W26">
        <f>Таблица5[[#This Row],[Xi]]*Таблица6[[#This Row],[Yi]]</f>
        <v>63.027600000000007</v>
      </c>
    </row>
    <row r="27" spans="1:23" x14ac:dyDescent="0.25">
      <c r="A27" t="s">
        <v>62</v>
      </c>
      <c r="B27" t="s">
        <v>63</v>
      </c>
      <c r="C27" t="s">
        <v>15</v>
      </c>
      <c r="D27" t="s">
        <v>10</v>
      </c>
      <c r="E27" t="s">
        <v>51</v>
      </c>
      <c r="F27" t="s">
        <v>12</v>
      </c>
      <c r="G27">
        <v>4</v>
      </c>
      <c r="J27">
        <v>17.809999999999999</v>
      </c>
      <c r="K27">
        <v>2.34</v>
      </c>
      <c r="M27" s="2">
        <v>17.809999999999999</v>
      </c>
      <c r="N27">
        <f t="shared" si="0"/>
        <v>-1.975942622950825</v>
      </c>
      <c r="O27">
        <f t="shared" si="1"/>
        <v>3.9043492491937863</v>
      </c>
      <c r="P27">
        <f>Таблица5[[#This Row],[Xi]]^2</f>
        <v>317.19609999999994</v>
      </c>
      <c r="R27" s="4">
        <v>2.34</v>
      </c>
      <c r="S27">
        <f t="shared" si="2"/>
        <v>-0.65827868852459037</v>
      </c>
      <c r="T27">
        <f t="shared" si="3"/>
        <v>0.43333083176565468</v>
      </c>
      <c r="U27">
        <f>Таблица6[[#This Row],[Yi]]^2</f>
        <v>5.4755999999999991</v>
      </c>
      <c r="W27">
        <f>Таблица5[[#This Row],[Xi]]*Таблица6[[#This Row],[Yi]]</f>
        <v>41.675399999999996</v>
      </c>
    </row>
    <row r="28" spans="1:23" x14ac:dyDescent="0.25">
      <c r="A28" t="s">
        <v>64</v>
      </c>
      <c r="B28" t="s">
        <v>25</v>
      </c>
      <c r="C28" t="s">
        <v>15</v>
      </c>
      <c r="D28" t="s">
        <v>10</v>
      </c>
      <c r="E28" t="s">
        <v>51</v>
      </c>
      <c r="F28" t="s">
        <v>12</v>
      </c>
      <c r="G28">
        <v>2</v>
      </c>
      <c r="J28">
        <v>13.37</v>
      </c>
      <c r="K28">
        <v>2</v>
      </c>
      <c r="M28" s="1">
        <v>13.37</v>
      </c>
      <c r="N28">
        <f t="shared" si="0"/>
        <v>-6.4159426229508245</v>
      </c>
      <c r="O28">
        <f t="shared" si="1"/>
        <v>41.164319740997108</v>
      </c>
      <c r="P28">
        <f>Таблица5[[#This Row],[Xi]]^2</f>
        <v>178.75689999999997</v>
      </c>
      <c r="R28" s="3">
        <v>2</v>
      </c>
      <c r="S28">
        <f t="shared" si="2"/>
        <v>-0.99827868852459023</v>
      </c>
      <c r="T28">
        <f t="shared" si="3"/>
        <v>0.99656033996237581</v>
      </c>
      <c r="U28">
        <f>Таблица6[[#This Row],[Yi]]^2</f>
        <v>4</v>
      </c>
      <c r="W28">
        <f>Таблица5[[#This Row],[Xi]]*Таблица6[[#This Row],[Yi]]</f>
        <v>26.74</v>
      </c>
    </row>
    <row r="29" spans="1:23" x14ac:dyDescent="0.25">
      <c r="A29" t="s">
        <v>65</v>
      </c>
      <c r="B29" t="s">
        <v>25</v>
      </c>
      <c r="C29" t="s">
        <v>15</v>
      </c>
      <c r="D29" t="s">
        <v>10</v>
      </c>
      <c r="E29" t="s">
        <v>51</v>
      </c>
      <c r="F29" t="s">
        <v>12</v>
      </c>
      <c r="G29">
        <v>2</v>
      </c>
      <c r="J29">
        <v>12.69</v>
      </c>
      <c r="K29">
        <v>2</v>
      </c>
      <c r="M29" s="2">
        <v>12.69</v>
      </c>
      <c r="N29">
        <f t="shared" si="0"/>
        <v>-7.0959426229508242</v>
      </c>
      <c r="O29">
        <f t="shared" si="1"/>
        <v>50.352401708210223</v>
      </c>
      <c r="P29">
        <f>Таблица5[[#This Row],[Xi]]^2</f>
        <v>161.03609999999998</v>
      </c>
      <c r="R29" s="4">
        <v>2</v>
      </c>
      <c r="S29">
        <f t="shared" si="2"/>
        <v>-0.99827868852459023</v>
      </c>
      <c r="T29">
        <f t="shared" si="3"/>
        <v>0.99656033996237581</v>
      </c>
      <c r="U29">
        <f>Таблица6[[#This Row],[Yi]]^2</f>
        <v>4</v>
      </c>
      <c r="W29">
        <f>Таблица5[[#This Row],[Xi]]*Таблица6[[#This Row],[Yi]]</f>
        <v>25.38</v>
      </c>
    </row>
    <row r="30" spans="1:23" x14ac:dyDescent="0.25">
      <c r="A30" t="s">
        <v>66</v>
      </c>
      <c r="B30" t="s">
        <v>67</v>
      </c>
      <c r="C30" t="s">
        <v>15</v>
      </c>
      <c r="D30" t="s">
        <v>10</v>
      </c>
      <c r="E30" t="s">
        <v>51</v>
      </c>
      <c r="F30" t="s">
        <v>12</v>
      </c>
      <c r="G30">
        <v>2</v>
      </c>
      <c r="J30">
        <v>21.7</v>
      </c>
      <c r="K30">
        <v>4.3</v>
      </c>
      <c r="M30" s="1">
        <v>21.7</v>
      </c>
      <c r="N30">
        <f t="shared" si="0"/>
        <v>1.9140573770491756</v>
      </c>
      <c r="O30">
        <f t="shared" si="1"/>
        <v>3.66361564263637</v>
      </c>
      <c r="P30">
        <f>Таблица5[[#This Row],[Xi]]^2</f>
        <v>470.89</v>
      </c>
      <c r="R30" s="3">
        <v>4.3</v>
      </c>
      <c r="S30">
        <f t="shared" si="2"/>
        <v>1.3017213114754096</v>
      </c>
      <c r="T30">
        <f t="shared" si="3"/>
        <v>1.6944783727492603</v>
      </c>
      <c r="U30">
        <f>Таблица6[[#This Row],[Yi]]^2</f>
        <v>18.489999999999998</v>
      </c>
      <c r="W30">
        <f>Таблица5[[#This Row],[Xi]]*Таблица6[[#This Row],[Yi]]</f>
        <v>93.309999999999988</v>
      </c>
    </row>
    <row r="31" spans="1:23" x14ac:dyDescent="0.25">
      <c r="A31" t="s">
        <v>68</v>
      </c>
      <c r="B31" t="s">
        <v>39</v>
      </c>
      <c r="C31" t="s">
        <v>9</v>
      </c>
      <c r="D31" t="s">
        <v>10</v>
      </c>
      <c r="E31" t="s">
        <v>51</v>
      </c>
      <c r="F31" t="s">
        <v>12</v>
      </c>
      <c r="G31">
        <v>2</v>
      </c>
      <c r="J31">
        <v>19.649999999999999</v>
      </c>
      <c r="K31">
        <v>3</v>
      </c>
      <c r="M31" s="2">
        <v>19.649999999999999</v>
      </c>
      <c r="N31">
        <f t="shared" si="0"/>
        <v>-0.13594262295082515</v>
      </c>
      <c r="O31">
        <f t="shared" si="1"/>
        <v>1.8480396734750215E-2</v>
      </c>
      <c r="P31">
        <f>Таблица5[[#This Row],[Xi]]^2</f>
        <v>386.12249999999995</v>
      </c>
      <c r="R31" s="4">
        <v>3</v>
      </c>
      <c r="S31">
        <f t="shared" si="2"/>
        <v>1.7213114754097703E-3</v>
      </c>
      <c r="T31">
        <f t="shared" si="3"/>
        <v>2.9629131953773601E-6</v>
      </c>
      <c r="U31">
        <f>Таблица6[[#This Row],[Yi]]^2</f>
        <v>9</v>
      </c>
      <c r="W31">
        <f>Таблица5[[#This Row],[Xi]]*Таблица6[[#This Row],[Yi]]</f>
        <v>58.949999999999996</v>
      </c>
    </row>
    <row r="32" spans="1:23" x14ac:dyDescent="0.25">
      <c r="A32" t="s">
        <v>69</v>
      </c>
      <c r="B32" t="s">
        <v>70</v>
      </c>
      <c r="C32" t="s">
        <v>15</v>
      </c>
      <c r="D32" t="s">
        <v>10</v>
      </c>
      <c r="E32" t="s">
        <v>51</v>
      </c>
      <c r="F32" t="s">
        <v>12</v>
      </c>
      <c r="G32">
        <v>2</v>
      </c>
      <c r="J32">
        <v>9.5500000000000007</v>
      </c>
      <c r="K32">
        <v>1.45</v>
      </c>
      <c r="M32" s="1">
        <v>9.5500000000000007</v>
      </c>
      <c r="N32">
        <f t="shared" si="0"/>
        <v>-10.235942622950823</v>
      </c>
      <c r="O32">
        <f t="shared" si="1"/>
        <v>104.77452138034137</v>
      </c>
      <c r="P32">
        <f>Таблица5[[#This Row],[Xi]]^2</f>
        <v>91.202500000000015</v>
      </c>
      <c r="R32" s="3">
        <v>1.45</v>
      </c>
      <c r="S32">
        <f t="shared" si="2"/>
        <v>-1.5482786885245903</v>
      </c>
      <c r="T32">
        <f t="shared" si="3"/>
        <v>2.3971668973394253</v>
      </c>
      <c r="U32">
        <f>Таблица6[[#This Row],[Yi]]^2</f>
        <v>2.1025</v>
      </c>
      <c r="W32">
        <f>Таблица5[[#This Row],[Xi]]*Таблица6[[#This Row],[Yi]]</f>
        <v>13.8475</v>
      </c>
    </row>
    <row r="33" spans="1:23" x14ac:dyDescent="0.25">
      <c r="A33" t="s">
        <v>71</v>
      </c>
      <c r="B33" t="s">
        <v>72</v>
      </c>
      <c r="C33" t="s">
        <v>15</v>
      </c>
      <c r="D33" t="s">
        <v>10</v>
      </c>
      <c r="E33" t="s">
        <v>51</v>
      </c>
      <c r="F33" t="s">
        <v>12</v>
      </c>
      <c r="G33">
        <v>4</v>
      </c>
      <c r="J33">
        <v>18.350000000000001</v>
      </c>
      <c r="K33">
        <v>2.5</v>
      </c>
      <c r="M33" s="2">
        <v>18.350000000000001</v>
      </c>
      <c r="N33">
        <f t="shared" si="0"/>
        <v>-1.4359426229508223</v>
      </c>
      <c r="O33">
        <f t="shared" si="1"/>
        <v>2.0619312164068875</v>
      </c>
      <c r="P33">
        <f>Таблица5[[#This Row],[Xi]]^2</f>
        <v>336.72250000000003</v>
      </c>
      <c r="R33" s="4">
        <v>2.5</v>
      </c>
      <c r="S33">
        <f t="shared" si="2"/>
        <v>-0.49827868852459023</v>
      </c>
      <c r="T33">
        <f t="shared" si="3"/>
        <v>0.24828165143778561</v>
      </c>
      <c r="U33">
        <f>Таблица6[[#This Row],[Yi]]^2</f>
        <v>6.25</v>
      </c>
      <c r="W33">
        <f>Таблица5[[#This Row],[Xi]]*Таблица6[[#This Row],[Yi]]</f>
        <v>45.875</v>
      </c>
    </row>
    <row r="34" spans="1:23" x14ac:dyDescent="0.25">
      <c r="A34" t="s">
        <v>73</v>
      </c>
      <c r="B34" t="s">
        <v>39</v>
      </c>
      <c r="C34" t="s">
        <v>9</v>
      </c>
      <c r="D34" t="s">
        <v>10</v>
      </c>
      <c r="E34" t="s">
        <v>51</v>
      </c>
      <c r="F34" t="s">
        <v>12</v>
      </c>
      <c r="G34">
        <v>2</v>
      </c>
      <c r="J34">
        <v>15.06</v>
      </c>
      <c r="K34">
        <v>3</v>
      </c>
      <c r="M34" s="1">
        <v>15.06</v>
      </c>
      <c r="N34">
        <f t="shared" si="0"/>
        <v>-4.7259426229508232</v>
      </c>
      <c r="O34">
        <f t="shared" si="1"/>
        <v>22.334533675423305</v>
      </c>
      <c r="P34">
        <f>Таблица5[[#This Row],[Xi]]^2</f>
        <v>226.80360000000002</v>
      </c>
      <c r="R34" s="3">
        <v>3</v>
      </c>
      <c r="S34">
        <f t="shared" si="2"/>
        <v>1.7213114754097703E-3</v>
      </c>
      <c r="T34">
        <f t="shared" si="3"/>
        <v>2.9629131953773601E-6</v>
      </c>
      <c r="U34">
        <f>Таблица6[[#This Row],[Yi]]^2</f>
        <v>9</v>
      </c>
      <c r="W34">
        <f>Таблица5[[#This Row],[Xi]]*Таблица6[[#This Row],[Yi]]</f>
        <v>45.18</v>
      </c>
    </row>
    <row r="35" spans="1:23" x14ac:dyDescent="0.25">
      <c r="A35" t="s">
        <v>74</v>
      </c>
      <c r="B35" t="s">
        <v>75</v>
      </c>
      <c r="C35" t="s">
        <v>9</v>
      </c>
      <c r="D35" t="s">
        <v>10</v>
      </c>
      <c r="E35" t="s">
        <v>51</v>
      </c>
      <c r="F35" t="s">
        <v>12</v>
      </c>
      <c r="G35">
        <v>4</v>
      </c>
      <c r="J35">
        <v>20.69</v>
      </c>
      <c r="K35">
        <v>2.4500000000000002</v>
      </c>
      <c r="M35" s="2">
        <v>20.69</v>
      </c>
      <c r="N35">
        <f t="shared" si="0"/>
        <v>0.90405737704917755</v>
      </c>
      <c r="O35">
        <f t="shared" si="1"/>
        <v>0.81731974099703875</v>
      </c>
      <c r="P35">
        <f>Таблица5[[#This Row],[Xi]]^2</f>
        <v>428.07610000000005</v>
      </c>
      <c r="R35" s="4">
        <v>2.4500000000000002</v>
      </c>
      <c r="S35">
        <f t="shared" si="2"/>
        <v>-0.54827868852459005</v>
      </c>
      <c r="T35">
        <f t="shared" si="3"/>
        <v>0.30060952029024446</v>
      </c>
      <c r="U35">
        <f>Таблица6[[#This Row],[Yi]]^2</f>
        <v>6.0025000000000013</v>
      </c>
      <c r="W35">
        <f>Таблица5[[#This Row],[Xi]]*Таблица6[[#This Row],[Yi]]</f>
        <v>50.690500000000007</v>
      </c>
    </row>
    <row r="36" spans="1:23" x14ac:dyDescent="0.25">
      <c r="A36" t="s">
        <v>76</v>
      </c>
      <c r="B36" t="s">
        <v>77</v>
      </c>
      <c r="C36" t="s">
        <v>15</v>
      </c>
      <c r="D36" t="s">
        <v>10</v>
      </c>
      <c r="E36" t="s">
        <v>51</v>
      </c>
      <c r="F36" t="s">
        <v>12</v>
      </c>
      <c r="G36">
        <v>2</v>
      </c>
      <c r="J36">
        <v>17.78</v>
      </c>
      <c r="K36">
        <v>3.27</v>
      </c>
      <c r="M36" s="1">
        <v>17.78</v>
      </c>
      <c r="N36">
        <f t="shared" si="0"/>
        <v>-2.0059426229508226</v>
      </c>
      <c r="O36">
        <f t="shared" si="1"/>
        <v>4.0238058065708264</v>
      </c>
      <c r="P36">
        <f>Таблица5[[#This Row],[Xi]]^2</f>
        <v>316.12840000000006</v>
      </c>
      <c r="R36" s="3">
        <v>3.27</v>
      </c>
      <c r="S36">
        <f t="shared" si="2"/>
        <v>0.27172131147540979</v>
      </c>
      <c r="T36">
        <f t="shared" si="3"/>
        <v>7.383247110991667E-2</v>
      </c>
      <c r="U36">
        <f>Таблица6[[#This Row],[Yi]]^2</f>
        <v>10.6929</v>
      </c>
      <c r="W36">
        <f>Таблица5[[#This Row],[Xi]]*Таблица6[[#This Row],[Yi]]</f>
        <v>58.140600000000006</v>
      </c>
    </row>
    <row r="37" spans="1:23" x14ac:dyDescent="0.25">
      <c r="A37" t="s">
        <v>78</v>
      </c>
      <c r="B37" t="s">
        <v>79</v>
      </c>
      <c r="C37" t="s">
        <v>15</v>
      </c>
      <c r="D37" t="s">
        <v>10</v>
      </c>
      <c r="E37" t="s">
        <v>51</v>
      </c>
      <c r="F37" t="s">
        <v>12</v>
      </c>
      <c r="G37">
        <v>3</v>
      </c>
      <c r="J37">
        <v>24.06</v>
      </c>
      <c r="K37">
        <v>3.6</v>
      </c>
      <c r="M37" s="2">
        <v>24.06</v>
      </c>
      <c r="N37">
        <f t="shared" si="0"/>
        <v>4.274057377049175</v>
      </c>
      <c r="O37">
        <f t="shared" si="1"/>
        <v>18.267566462308473</v>
      </c>
      <c r="P37">
        <f>Таблица5[[#This Row],[Xi]]^2</f>
        <v>578.88359999999989</v>
      </c>
      <c r="R37" s="4">
        <v>3.6</v>
      </c>
      <c r="S37">
        <f t="shared" si="2"/>
        <v>0.60172131147540986</v>
      </c>
      <c r="T37">
        <f t="shared" si="3"/>
        <v>0.36206853668368721</v>
      </c>
      <c r="U37">
        <f>Таблица6[[#This Row],[Yi]]^2</f>
        <v>12.96</v>
      </c>
      <c r="W37">
        <f>Таблица5[[#This Row],[Xi]]*Таблица6[[#This Row],[Yi]]</f>
        <v>86.616</v>
      </c>
    </row>
    <row r="38" spans="1:23" x14ac:dyDescent="0.25">
      <c r="A38" t="s">
        <v>80</v>
      </c>
      <c r="B38" t="s">
        <v>25</v>
      </c>
      <c r="C38" t="s">
        <v>15</v>
      </c>
      <c r="D38" t="s">
        <v>10</v>
      </c>
      <c r="E38" t="s">
        <v>51</v>
      </c>
      <c r="F38" t="s">
        <v>12</v>
      </c>
      <c r="G38">
        <v>3</v>
      </c>
      <c r="J38">
        <v>16.309999999999999</v>
      </c>
      <c r="K38">
        <v>2</v>
      </c>
      <c r="M38" s="1">
        <v>16.309999999999999</v>
      </c>
      <c r="N38">
        <f t="shared" si="0"/>
        <v>-3.475942622950825</v>
      </c>
      <c r="O38">
        <f t="shared" si="1"/>
        <v>12.08217711804626</v>
      </c>
      <c r="P38">
        <f>Таблица5[[#This Row],[Xi]]^2</f>
        <v>266.01609999999994</v>
      </c>
      <c r="R38" s="3">
        <v>2</v>
      </c>
      <c r="S38">
        <f t="shared" si="2"/>
        <v>-0.99827868852459023</v>
      </c>
      <c r="T38">
        <f t="shared" si="3"/>
        <v>0.99656033996237581</v>
      </c>
      <c r="U38">
        <f>Таблица6[[#This Row],[Yi]]^2</f>
        <v>4</v>
      </c>
      <c r="W38">
        <f>Таблица5[[#This Row],[Xi]]*Таблица6[[#This Row],[Yi]]</f>
        <v>32.619999999999997</v>
      </c>
    </row>
    <row r="39" spans="1:23" x14ac:dyDescent="0.25">
      <c r="A39" t="s">
        <v>81</v>
      </c>
      <c r="B39" t="s">
        <v>82</v>
      </c>
      <c r="C39" t="s">
        <v>9</v>
      </c>
      <c r="D39" t="s">
        <v>10</v>
      </c>
      <c r="E39" t="s">
        <v>51</v>
      </c>
      <c r="F39" t="s">
        <v>12</v>
      </c>
      <c r="G39">
        <v>3</v>
      </c>
      <c r="J39">
        <v>16.93</v>
      </c>
      <c r="K39">
        <v>3.07</v>
      </c>
      <c r="M39" s="2">
        <v>16.93</v>
      </c>
      <c r="N39">
        <f t="shared" si="0"/>
        <v>-2.855942622950824</v>
      </c>
      <c r="O39">
        <f t="shared" si="1"/>
        <v>8.156408265587233</v>
      </c>
      <c r="P39">
        <f>Таблица5[[#This Row],[Xi]]^2</f>
        <v>286.62489999999997</v>
      </c>
      <c r="R39" s="4">
        <v>3.07</v>
      </c>
      <c r="S39">
        <f t="shared" si="2"/>
        <v>7.172131147540961E-2</v>
      </c>
      <c r="T39">
        <f t="shared" si="3"/>
        <v>5.1439465197527226E-3</v>
      </c>
      <c r="U39">
        <f>Таблица6[[#This Row],[Yi]]^2</f>
        <v>9.4248999999999992</v>
      </c>
      <c r="W39">
        <f>Таблица5[[#This Row],[Xi]]*Таблица6[[#This Row],[Yi]]</f>
        <v>51.975099999999998</v>
      </c>
    </row>
    <row r="40" spans="1:23" x14ac:dyDescent="0.25">
      <c r="A40" t="s">
        <v>83</v>
      </c>
      <c r="B40" t="s">
        <v>84</v>
      </c>
      <c r="C40" t="s">
        <v>15</v>
      </c>
      <c r="D40" t="s">
        <v>10</v>
      </c>
      <c r="E40" t="s">
        <v>51</v>
      </c>
      <c r="F40" t="s">
        <v>12</v>
      </c>
      <c r="G40">
        <v>3</v>
      </c>
      <c r="J40">
        <v>18.690000000000001</v>
      </c>
      <c r="K40">
        <v>2.31</v>
      </c>
      <c r="M40" s="1">
        <v>18.690000000000001</v>
      </c>
      <c r="N40">
        <f t="shared" si="0"/>
        <v>-1.0959426229508225</v>
      </c>
      <c r="O40">
        <f t="shared" si="1"/>
        <v>1.2010902328003286</v>
      </c>
      <c r="P40">
        <f>Таблица5[[#This Row],[Xi]]^2</f>
        <v>349.31610000000006</v>
      </c>
      <c r="R40" s="3">
        <v>2.31</v>
      </c>
      <c r="S40">
        <f t="shared" si="2"/>
        <v>-0.68827868852459018</v>
      </c>
      <c r="T40">
        <f t="shared" si="3"/>
        <v>0.47372755307712983</v>
      </c>
      <c r="U40">
        <f>Таблица6[[#This Row],[Yi]]^2</f>
        <v>5.3361000000000001</v>
      </c>
      <c r="W40">
        <f>Таблица5[[#This Row],[Xi]]*Таблица6[[#This Row],[Yi]]</f>
        <v>43.173900000000003</v>
      </c>
    </row>
    <row r="41" spans="1:23" x14ac:dyDescent="0.25">
      <c r="A41" t="s">
        <v>85</v>
      </c>
      <c r="B41" t="s">
        <v>35</v>
      </c>
      <c r="C41" t="s">
        <v>15</v>
      </c>
      <c r="D41" t="s">
        <v>10</v>
      </c>
      <c r="E41" t="s">
        <v>51</v>
      </c>
      <c r="F41" t="s">
        <v>12</v>
      </c>
      <c r="G41">
        <v>3</v>
      </c>
      <c r="J41">
        <v>31.27</v>
      </c>
      <c r="K41">
        <v>5</v>
      </c>
      <c r="M41" s="2">
        <v>31.27</v>
      </c>
      <c r="N41">
        <f t="shared" si="0"/>
        <v>11.484057377049176</v>
      </c>
      <c r="O41">
        <f t="shared" si="1"/>
        <v>131.88357383935761</v>
      </c>
      <c r="P41">
        <f>Таблица5[[#This Row],[Xi]]^2</f>
        <v>977.81290000000001</v>
      </c>
      <c r="R41" s="4">
        <v>5</v>
      </c>
      <c r="S41">
        <f t="shared" si="2"/>
        <v>2.0017213114754098</v>
      </c>
      <c r="T41">
        <f t="shared" si="3"/>
        <v>4.0068882088148348</v>
      </c>
      <c r="U41">
        <f>Таблица6[[#This Row],[Yi]]^2</f>
        <v>25</v>
      </c>
      <c r="W41">
        <f>Таблица5[[#This Row],[Xi]]*Таблица6[[#This Row],[Yi]]</f>
        <v>156.35</v>
      </c>
    </row>
    <row r="42" spans="1:23" x14ac:dyDescent="0.25">
      <c r="A42" t="s">
        <v>86</v>
      </c>
      <c r="B42" t="s">
        <v>87</v>
      </c>
      <c r="C42" t="s">
        <v>15</v>
      </c>
      <c r="D42" t="s">
        <v>10</v>
      </c>
      <c r="E42" t="s">
        <v>51</v>
      </c>
      <c r="F42" t="s">
        <v>12</v>
      </c>
      <c r="G42">
        <v>3</v>
      </c>
      <c r="J42">
        <v>16.04</v>
      </c>
      <c r="K42">
        <v>2.2400000000000002</v>
      </c>
      <c r="M42" s="1">
        <v>16.04</v>
      </c>
      <c r="N42">
        <f t="shared" si="0"/>
        <v>-3.7459426229508246</v>
      </c>
      <c r="O42">
        <f t="shared" si="1"/>
        <v>14.032086134439703</v>
      </c>
      <c r="P42">
        <f>Таблица5[[#This Row],[Xi]]^2</f>
        <v>257.28159999999997</v>
      </c>
      <c r="R42" s="3">
        <v>2.2400000000000002</v>
      </c>
      <c r="S42">
        <f t="shared" si="2"/>
        <v>-0.75827868852459002</v>
      </c>
      <c r="T42">
        <f t="shared" si="3"/>
        <v>0.57498656947057225</v>
      </c>
      <c r="U42">
        <f>Таблица6[[#This Row],[Yi]]^2</f>
        <v>5.0176000000000007</v>
      </c>
      <c r="W42">
        <f>Таблица5[[#This Row],[Xi]]*Таблица6[[#This Row],[Yi]]</f>
        <v>35.929600000000001</v>
      </c>
    </row>
    <row r="43" spans="1:23" x14ac:dyDescent="0.25">
      <c r="A43" t="s">
        <v>88</v>
      </c>
      <c r="B43" t="s">
        <v>89</v>
      </c>
      <c r="C43" t="s">
        <v>15</v>
      </c>
      <c r="D43" t="s">
        <v>10</v>
      </c>
      <c r="E43" t="s">
        <v>11</v>
      </c>
      <c r="F43" t="s">
        <v>12</v>
      </c>
      <c r="G43">
        <v>2</v>
      </c>
      <c r="J43">
        <v>17.46</v>
      </c>
      <c r="K43">
        <v>2.54</v>
      </c>
      <c r="M43" s="2">
        <v>17.46</v>
      </c>
      <c r="N43">
        <f t="shared" si="0"/>
        <v>-2.3259426229508229</v>
      </c>
      <c r="O43">
        <f t="shared" si="1"/>
        <v>5.4100090852593539</v>
      </c>
      <c r="P43">
        <f>Таблица5[[#This Row],[Xi]]^2</f>
        <v>304.85160000000002</v>
      </c>
      <c r="R43" s="4">
        <v>2.54</v>
      </c>
      <c r="S43">
        <f t="shared" si="2"/>
        <v>-0.45827868852459019</v>
      </c>
      <c r="T43">
        <f t="shared" si="3"/>
        <v>0.21001935635581837</v>
      </c>
      <c r="U43">
        <f>Таблица6[[#This Row],[Yi]]^2</f>
        <v>6.4516</v>
      </c>
      <c r="W43">
        <f>Таблица5[[#This Row],[Xi]]*Таблица6[[#This Row],[Yi]]</f>
        <v>44.348400000000005</v>
      </c>
    </row>
    <row r="44" spans="1:23" x14ac:dyDescent="0.25">
      <c r="A44" t="s">
        <v>90</v>
      </c>
      <c r="B44" t="s">
        <v>91</v>
      </c>
      <c r="C44" t="s">
        <v>15</v>
      </c>
      <c r="D44" t="s">
        <v>10</v>
      </c>
      <c r="E44" t="s">
        <v>11</v>
      </c>
      <c r="F44" t="s">
        <v>12</v>
      </c>
      <c r="G44">
        <v>2</v>
      </c>
      <c r="J44">
        <v>13.94</v>
      </c>
      <c r="K44">
        <v>3.06</v>
      </c>
      <c r="M44" s="1">
        <v>13.94</v>
      </c>
      <c r="N44">
        <f t="shared" si="0"/>
        <v>-5.8459426229508242</v>
      </c>
      <c r="O44">
        <f t="shared" si="1"/>
        <v>34.175045150833164</v>
      </c>
      <c r="P44">
        <f>Таблица5[[#This Row],[Xi]]^2</f>
        <v>194.3236</v>
      </c>
      <c r="R44" s="3">
        <v>3.06</v>
      </c>
      <c r="S44">
        <f t="shared" si="2"/>
        <v>6.1721311475409824E-2</v>
      </c>
      <c r="T44">
        <f t="shared" si="3"/>
        <v>3.8095202902445565E-3</v>
      </c>
      <c r="U44">
        <f>Таблица6[[#This Row],[Yi]]^2</f>
        <v>9.3635999999999999</v>
      </c>
      <c r="W44">
        <f>Таблица5[[#This Row],[Xi]]*Таблица6[[#This Row],[Yi]]</f>
        <v>42.656399999999998</v>
      </c>
    </row>
    <row r="45" spans="1:23" x14ac:dyDescent="0.25">
      <c r="A45" t="s">
        <v>92</v>
      </c>
      <c r="B45" t="s">
        <v>93</v>
      </c>
      <c r="C45" t="s">
        <v>15</v>
      </c>
      <c r="D45" t="s">
        <v>10</v>
      </c>
      <c r="E45" t="s">
        <v>11</v>
      </c>
      <c r="F45" t="s">
        <v>12</v>
      </c>
      <c r="G45">
        <v>2</v>
      </c>
      <c r="J45">
        <v>9.68</v>
      </c>
      <c r="K45">
        <v>1.32</v>
      </c>
      <c r="M45" s="2">
        <v>9.68</v>
      </c>
      <c r="N45">
        <f t="shared" si="0"/>
        <v>-10.105942622950824</v>
      </c>
      <c r="O45">
        <f t="shared" si="1"/>
        <v>102.13007629837418</v>
      </c>
      <c r="P45">
        <f>Таблица5[[#This Row],[Xi]]^2</f>
        <v>93.702399999999997</v>
      </c>
      <c r="R45" s="4">
        <v>1.32</v>
      </c>
      <c r="S45">
        <f t="shared" si="2"/>
        <v>-1.6782786885245902</v>
      </c>
      <c r="T45">
        <f t="shared" si="3"/>
        <v>2.8166193563558184</v>
      </c>
      <c r="U45">
        <f>Таблица6[[#This Row],[Yi]]^2</f>
        <v>1.7424000000000002</v>
      </c>
      <c r="W45">
        <f>Таблица5[[#This Row],[Xi]]*Таблица6[[#This Row],[Yi]]</f>
        <v>12.7776</v>
      </c>
    </row>
    <row r="46" spans="1:23" x14ac:dyDescent="0.25">
      <c r="A46" t="s">
        <v>94</v>
      </c>
      <c r="B46" t="s">
        <v>95</v>
      </c>
      <c r="C46" t="s">
        <v>15</v>
      </c>
      <c r="D46" t="s">
        <v>10</v>
      </c>
      <c r="E46" t="s">
        <v>11</v>
      </c>
      <c r="F46" t="s">
        <v>12</v>
      </c>
      <c r="G46">
        <v>4</v>
      </c>
      <c r="J46">
        <v>30.4</v>
      </c>
      <c r="K46">
        <v>5.6</v>
      </c>
      <c r="M46" s="1">
        <v>30.4</v>
      </c>
      <c r="N46">
        <f t="shared" si="0"/>
        <v>10.614057377049175</v>
      </c>
      <c r="O46">
        <f t="shared" si="1"/>
        <v>112.65821400329202</v>
      </c>
      <c r="P46">
        <f>Таблица5[[#This Row],[Xi]]^2</f>
        <v>924.16</v>
      </c>
      <c r="R46" s="3">
        <v>5.6</v>
      </c>
      <c r="S46">
        <f t="shared" si="2"/>
        <v>2.6017213114754094</v>
      </c>
      <c r="T46">
        <f t="shared" si="3"/>
        <v>6.7689537825853243</v>
      </c>
      <c r="U46">
        <f>Таблица6[[#This Row],[Yi]]^2</f>
        <v>31.359999999999996</v>
      </c>
      <c r="W46">
        <f>Таблица5[[#This Row],[Xi]]*Таблица6[[#This Row],[Yi]]</f>
        <v>170.23999999999998</v>
      </c>
    </row>
    <row r="47" spans="1:23" x14ac:dyDescent="0.25">
      <c r="A47" t="s">
        <v>96</v>
      </c>
      <c r="B47" t="s">
        <v>39</v>
      </c>
      <c r="C47" t="s">
        <v>15</v>
      </c>
      <c r="D47" t="s">
        <v>10</v>
      </c>
      <c r="E47" t="s">
        <v>11</v>
      </c>
      <c r="F47" t="s">
        <v>12</v>
      </c>
      <c r="G47">
        <v>2</v>
      </c>
      <c r="J47">
        <v>18.29</v>
      </c>
      <c r="K47">
        <v>3</v>
      </c>
      <c r="M47" s="2">
        <v>18.29</v>
      </c>
      <c r="N47">
        <f t="shared" si="0"/>
        <v>-1.4959426229508246</v>
      </c>
      <c r="O47">
        <f t="shared" si="1"/>
        <v>2.2378443311609928</v>
      </c>
      <c r="P47">
        <f>Таблица5[[#This Row],[Xi]]^2</f>
        <v>334.52409999999998</v>
      </c>
      <c r="R47" s="4">
        <v>3</v>
      </c>
      <c r="S47">
        <f t="shared" si="2"/>
        <v>1.7213114754097703E-3</v>
      </c>
      <c r="T47">
        <f t="shared" si="3"/>
        <v>2.9629131953773601E-6</v>
      </c>
      <c r="U47">
        <f>Таблица6[[#This Row],[Yi]]^2</f>
        <v>9</v>
      </c>
      <c r="W47">
        <f>Таблица5[[#This Row],[Xi]]*Таблица6[[#This Row],[Yi]]</f>
        <v>54.87</v>
      </c>
    </row>
    <row r="48" spans="1:23" x14ac:dyDescent="0.25">
      <c r="A48" t="s">
        <v>97</v>
      </c>
      <c r="B48" t="s">
        <v>35</v>
      </c>
      <c r="C48" t="s">
        <v>15</v>
      </c>
      <c r="D48" t="s">
        <v>10</v>
      </c>
      <c r="E48" t="s">
        <v>11</v>
      </c>
      <c r="F48" t="s">
        <v>12</v>
      </c>
      <c r="G48">
        <v>2</v>
      </c>
      <c r="J48">
        <v>22.23</v>
      </c>
      <c r="K48">
        <v>5</v>
      </c>
      <c r="M48" s="1">
        <v>22.23</v>
      </c>
      <c r="N48">
        <f t="shared" si="0"/>
        <v>2.4440573770491767</v>
      </c>
      <c r="O48">
        <f t="shared" si="1"/>
        <v>5.9734164623085011</v>
      </c>
      <c r="P48">
        <f>Таблица5[[#This Row],[Xi]]^2</f>
        <v>494.17290000000003</v>
      </c>
      <c r="R48" s="3">
        <v>5</v>
      </c>
      <c r="S48">
        <f t="shared" si="2"/>
        <v>2.0017213114754098</v>
      </c>
      <c r="T48">
        <f t="shared" si="3"/>
        <v>4.0068882088148348</v>
      </c>
      <c r="U48">
        <f>Таблица6[[#This Row],[Yi]]^2</f>
        <v>25</v>
      </c>
      <c r="W48">
        <f>Таблица5[[#This Row],[Xi]]*Таблица6[[#This Row],[Yi]]</f>
        <v>111.15</v>
      </c>
    </row>
    <row r="49" spans="1:23" x14ac:dyDescent="0.25">
      <c r="A49" t="s">
        <v>98</v>
      </c>
      <c r="B49" t="s">
        <v>99</v>
      </c>
      <c r="C49" t="s">
        <v>15</v>
      </c>
      <c r="D49" t="s">
        <v>10</v>
      </c>
      <c r="E49" t="s">
        <v>11</v>
      </c>
      <c r="F49" t="s">
        <v>12</v>
      </c>
      <c r="G49">
        <v>4</v>
      </c>
      <c r="J49">
        <v>32.4</v>
      </c>
      <c r="K49">
        <v>6</v>
      </c>
      <c r="M49" s="2">
        <v>32.4</v>
      </c>
      <c r="N49">
        <f t="shared" si="0"/>
        <v>12.614057377049175</v>
      </c>
      <c r="O49">
        <f t="shared" si="1"/>
        <v>159.1144435114887</v>
      </c>
      <c r="P49">
        <f>Таблица5[[#This Row],[Xi]]^2</f>
        <v>1049.76</v>
      </c>
      <c r="R49" s="4">
        <v>6</v>
      </c>
      <c r="S49">
        <f t="shared" si="2"/>
        <v>3.0017213114754098</v>
      </c>
      <c r="T49">
        <f t="shared" si="3"/>
        <v>9.0103308317656534</v>
      </c>
      <c r="U49">
        <f>Таблица6[[#This Row],[Yi]]^2</f>
        <v>36</v>
      </c>
      <c r="W49">
        <f>Таблица5[[#This Row],[Xi]]*Таблица6[[#This Row],[Yi]]</f>
        <v>194.39999999999998</v>
      </c>
    </row>
    <row r="50" spans="1:23" x14ac:dyDescent="0.25">
      <c r="A50" t="s">
        <v>100</v>
      </c>
      <c r="B50" t="s">
        <v>101</v>
      </c>
      <c r="C50" t="s">
        <v>15</v>
      </c>
      <c r="D50" t="s">
        <v>10</v>
      </c>
      <c r="E50" t="s">
        <v>11</v>
      </c>
      <c r="F50" t="s">
        <v>12</v>
      </c>
      <c r="G50">
        <v>3</v>
      </c>
      <c r="J50">
        <v>28.55</v>
      </c>
      <c r="K50">
        <v>2.0499999999999998</v>
      </c>
      <c r="M50" s="1">
        <v>28.55</v>
      </c>
      <c r="N50">
        <f t="shared" si="0"/>
        <v>8.764057377049177</v>
      </c>
      <c r="O50">
        <f t="shared" si="1"/>
        <v>76.808701708210094</v>
      </c>
      <c r="P50">
        <f>Таблица5[[#This Row],[Xi]]^2</f>
        <v>815.10250000000008</v>
      </c>
      <c r="R50" s="3">
        <v>2.0499999999999998</v>
      </c>
      <c r="S50">
        <f t="shared" si="2"/>
        <v>-0.94827868852459041</v>
      </c>
      <c r="T50">
        <f t="shared" si="3"/>
        <v>0.89923247110991711</v>
      </c>
      <c r="U50">
        <f>Таблица6[[#This Row],[Yi]]^2</f>
        <v>4.2024999999999997</v>
      </c>
      <c r="W50">
        <f>Таблица5[[#This Row],[Xi]]*Таблица6[[#This Row],[Yi]]</f>
        <v>58.527499999999996</v>
      </c>
    </row>
    <row r="51" spans="1:23" x14ac:dyDescent="0.25">
      <c r="A51" t="s">
        <v>102</v>
      </c>
      <c r="B51" t="s">
        <v>39</v>
      </c>
      <c r="C51" t="s">
        <v>15</v>
      </c>
      <c r="D51" t="s">
        <v>10</v>
      </c>
      <c r="E51" t="s">
        <v>11</v>
      </c>
      <c r="F51" t="s">
        <v>12</v>
      </c>
      <c r="G51">
        <v>2</v>
      </c>
      <c r="J51">
        <v>18.04</v>
      </c>
      <c r="K51">
        <v>3</v>
      </c>
      <c r="M51" s="2">
        <v>18.04</v>
      </c>
      <c r="N51">
        <f t="shared" si="0"/>
        <v>-1.7459426229508246</v>
      </c>
      <c r="O51">
        <f t="shared" si="1"/>
        <v>3.0483156426364051</v>
      </c>
      <c r="P51">
        <f>Таблица5[[#This Row],[Xi]]^2</f>
        <v>325.44159999999999</v>
      </c>
      <c r="R51" s="4">
        <v>3</v>
      </c>
      <c r="S51">
        <f t="shared" si="2"/>
        <v>1.7213114754097703E-3</v>
      </c>
      <c r="T51">
        <f t="shared" si="3"/>
        <v>2.9629131953773601E-6</v>
      </c>
      <c r="U51">
        <f>Таблица6[[#This Row],[Yi]]^2</f>
        <v>9</v>
      </c>
      <c r="W51">
        <f>Таблица5[[#This Row],[Xi]]*Таблица6[[#This Row],[Yi]]</f>
        <v>54.12</v>
      </c>
    </row>
    <row r="52" spans="1:23" x14ac:dyDescent="0.25">
      <c r="A52" t="s">
        <v>103</v>
      </c>
      <c r="B52" t="s">
        <v>72</v>
      </c>
      <c r="C52" t="s">
        <v>15</v>
      </c>
      <c r="D52" t="s">
        <v>10</v>
      </c>
      <c r="E52" t="s">
        <v>11</v>
      </c>
      <c r="F52" t="s">
        <v>12</v>
      </c>
      <c r="G52">
        <v>2</v>
      </c>
      <c r="J52">
        <v>12.54</v>
      </c>
      <c r="K52">
        <v>2.5</v>
      </c>
      <c r="M52" s="1">
        <v>12.54</v>
      </c>
      <c r="N52">
        <f t="shared" si="0"/>
        <v>-7.2459426229508246</v>
      </c>
      <c r="O52">
        <f t="shared" si="1"/>
        <v>52.503684495095477</v>
      </c>
      <c r="P52">
        <f>Таблица5[[#This Row],[Xi]]^2</f>
        <v>157.25159999999997</v>
      </c>
      <c r="R52" s="3">
        <v>2.5</v>
      </c>
      <c r="S52">
        <f t="shared" si="2"/>
        <v>-0.49827868852459023</v>
      </c>
      <c r="T52">
        <f t="shared" si="3"/>
        <v>0.24828165143778561</v>
      </c>
      <c r="U52">
        <f>Таблица6[[#This Row],[Yi]]^2</f>
        <v>6.25</v>
      </c>
      <c r="W52">
        <f>Таблица5[[#This Row],[Xi]]*Таблица6[[#This Row],[Yi]]</f>
        <v>31.349999999999998</v>
      </c>
    </row>
    <row r="53" spans="1:23" x14ac:dyDescent="0.25">
      <c r="A53" t="s">
        <v>104</v>
      </c>
      <c r="B53" t="s">
        <v>105</v>
      </c>
      <c r="C53" t="s">
        <v>9</v>
      </c>
      <c r="D53" t="s">
        <v>10</v>
      </c>
      <c r="E53" t="s">
        <v>11</v>
      </c>
      <c r="F53" t="s">
        <v>12</v>
      </c>
      <c r="G53">
        <v>2</v>
      </c>
      <c r="J53">
        <v>10.29</v>
      </c>
      <c r="K53">
        <v>2.6</v>
      </c>
      <c r="M53" s="2">
        <v>10.29</v>
      </c>
      <c r="N53">
        <f t="shared" si="0"/>
        <v>-9.4959426229508246</v>
      </c>
      <c r="O53">
        <f t="shared" si="1"/>
        <v>90.172926298374193</v>
      </c>
      <c r="P53">
        <f>Таблица5[[#This Row],[Xi]]^2</f>
        <v>105.88409999999999</v>
      </c>
      <c r="R53" s="4">
        <v>2.6</v>
      </c>
      <c r="S53">
        <f t="shared" si="2"/>
        <v>-0.39827868852459014</v>
      </c>
      <c r="T53">
        <f t="shared" si="3"/>
        <v>0.1586259137328675</v>
      </c>
      <c r="U53">
        <f>Таблица6[[#This Row],[Yi]]^2</f>
        <v>6.7600000000000007</v>
      </c>
      <c r="W53">
        <f>Таблица5[[#This Row],[Xi]]*Таблица6[[#This Row],[Yi]]</f>
        <v>26.753999999999998</v>
      </c>
    </row>
    <row r="54" spans="1:23" x14ac:dyDescent="0.25">
      <c r="A54" t="s">
        <v>106</v>
      </c>
      <c r="B54" t="s">
        <v>107</v>
      </c>
      <c r="C54" t="s">
        <v>9</v>
      </c>
      <c r="D54" t="s">
        <v>10</v>
      </c>
      <c r="E54" t="s">
        <v>11</v>
      </c>
      <c r="F54" t="s">
        <v>12</v>
      </c>
      <c r="G54">
        <v>4</v>
      </c>
      <c r="J54">
        <v>34.81</v>
      </c>
      <c r="K54">
        <v>5.2</v>
      </c>
      <c r="M54" s="1">
        <v>34.81</v>
      </c>
      <c r="N54">
        <f t="shared" si="0"/>
        <v>15.024057377049179</v>
      </c>
      <c r="O54">
        <f t="shared" si="1"/>
        <v>225.72230006886585</v>
      </c>
      <c r="P54">
        <f>Таблица5[[#This Row],[Xi]]^2</f>
        <v>1211.7361000000001</v>
      </c>
      <c r="R54" s="3">
        <v>5.2</v>
      </c>
      <c r="S54">
        <f t="shared" si="2"/>
        <v>2.2017213114754099</v>
      </c>
      <c r="T54">
        <f t="shared" si="3"/>
        <v>4.8475767334049991</v>
      </c>
      <c r="U54">
        <f>Таблица6[[#This Row],[Yi]]^2</f>
        <v>27.040000000000003</v>
      </c>
      <c r="W54">
        <f>Таблица5[[#This Row],[Xi]]*Таблица6[[#This Row],[Yi]]</f>
        <v>181.01200000000003</v>
      </c>
    </row>
    <row r="55" spans="1:23" x14ac:dyDescent="0.25">
      <c r="A55" t="s">
        <v>108</v>
      </c>
      <c r="B55" t="s">
        <v>109</v>
      </c>
      <c r="C55" t="s">
        <v>15</v>
      </c>
      <c r="D55" t="s">
        <v>10</v>
      </c>
      <c r="E55" t="s">
        <v>11</v>
      </c>
      <c r="F55" t="s">
        <v>12</v>
      </c>
      <c r="G55">
        <v>2</v>
      </c>
      <c r="J55">
        <v>9.94</v>
      </c>
      <c r="K55">
        <v>1.56</v>
      </c>
      <c r="M55" s="2">
        <v>9.94</v>
      </c>
      <c r="N55">
        <f t="shared" si="0"/>
        <v>-9.8459426229508242</v>
      </c>
      <c r="O55">
        <f t="shared" si="1"/>
        <v>96.94258613443975</v>
      </c>
      <c r="P55">
        <f>Таблица5[[#This Row],[Xi]]^2</f>
        <v>98.803599999999989</v>
      </c>
      <c r="R55" s="4">
        <v>1.56</v>
      </c>
      <c r="S55">
        <f t="shared" si="2"/>
        <v>-1.4382786885245902</v>
      </c>
      <c r="T55">
        <f t="shared" si="3"/>
        <v>2.0686455858640151</v>
      </c>
      <c r="U55">
        <f>Таблица6[[#This Row],[Yi]]^2</f>
        <v>2.4336000000000002</v>
      </c>
      <c r="W55">
        <f>Таблица5[[#This Row],[Xi]]*Таблица6[[#This Row],[Yi]]</f>
        <v>15.506399999999999</v>
      </c>
    </row>
    <row r="56" spans="1:23" x14ac:dyDescent="0.25">
      <c r="A56" t="s">
        <v>110</v>
      </c>
      <c r="B56" t="s">
        <v>111</v>
      </c>
      <c r="C56" t="s">
        <v>15</v>
      </c>
      <c r="D56" t="s">
        <v>10</v>
      </c>
      <c r="E56" t="s">
        <v>11</v>
      </c>
      <c r="F56" t="s">
        <v>12</v>
      </c>
      <c r="G56">
        <v>4</v>
      </c>
      <c r="J56">
        <v>25.56</v>
      </c>
      <c r="K56">
        <v>4.34</v>
      </c>
      <c r="M56" s="1">
        <v>25.56</v>
      </c>
      <c r="N56">
        <f t="shared" si="0"/>
        <v>5.774057377049175</v>
      </c>
      <c r="O56">
        <f t="shared" si="1"/>
        <v>33.339738593455998</v>
      </c>
      <c r="P56">
        <f>Таблица5[[#This Row],[Xi]]^2</f>
        <v>653.31359999999995</v>
      </c>
      <c r="R56" s="3">
        <v>4.34</v>
      </c>
      <c r="S56">
        <f t="shared" si="2"/>
        <v>1.3417213114754096</v>
      </c>
      <c r="T56">
        <f t="shared" si="3"/>
        <v>1.8002160776672931</v>
      </c>
      <c r="U56">
        <f>Таблица6[[#This Row],[Yi]]^2</f>
        <v>18.835599999999999</v>
      </c>
      <c r="W56">
        <f>Таблица5[[#This Row],[Xi]]*Таблица6[[#This Row],[Yi]]</f>
        <v>110.93039999999999</v>
      </c>
    </row>
    <row r="57" spans="1:23" x14ac:dyDescent="0.25">
      <c r="A57" t="s">
        <v>112</v>
      </c>
      <c r="B57" t="s">
        <v>113</v>
      </c>
      <c r="C57" t="s">
        <v>15</v>
      </c>
      <c r="D57" t="s">
        <v>10</v>
      </c>
      <c r="E57" t="s">
        <v>11</v>
      </c>
      <c r="F57" t="s">
        <v>12</v>
      </c>
      <c r="G57">
        <v>2</v>
      </c>
      <c r="J57">
        <v>19.489999999999998</v>
      </c>
      <c r="K57">
        <v>3.51</v>
      </c>
      <c r="M57" s="2">
        <v>19.489999999999998</v>
      </c>
      <c r="N57">
        <f t="shared" si="0"/>
        <v>-0.2959426229508253</v>
      </c>
      <c r="O57">
        <f t="shared" si="1"/>
        <v>8.7582036079014353E-2</v>
      </c>
      <c r="P57">
        <f>Таблица5[[#This Row],[Xi]]^2</f>
        <v>379.86009999999993</v>
      </c>
      <c r="R57" s="4">
        <v>3.51</v>
      </c>
      <c r="S57">
        <f t="shared" si="2"/>
        <v>0.51172131147540956</v>
      </c>
      <c r="T57">
        <f t="shared" si="3"/>
        <v>0.26185870061811312</v>
      </c>
      <c r="U57">
        <f>Таблица6[[#This Row],[Yi]]^2</f>
        <v>12.320099999999998</v>
      </c>
      <c r="W57">
        <f>Таблица5[[#This Row],[Xi]]*Таблица6[[#This Row],[Yi]]</f>
        <v>68.409899999999993</v>
      </c>
    </row>
    <row r="58" spans="1:23" x14ac:dyDescent="0.25">
      <c r="A58" t="s">
        <v>114</v>
      </c>
      <c r="B58" t="s">
        <v>39</v>
      </c>
      <c r="C58" t="s">
        <v>15</v>
      </c>
      <c r="D58" t="s">
        <v>115</v>
      </c>
      <c r="E58" t="s">
        <v>51</v>
      </c>
      <c r="F58" t="s">
        <v>12</v>
      </c>
      <c r="G58">
        <v>4</v>
      </c>
      <c r="J58">
        <v>38.01</v>
      </c>
      <c r="K58">
        <v>3</v>
      </c>
      <c r="M58" s="1">
        <v>38.01</v>
      </c>
      <c r="N58">
        <f t="shared" si="0"/>
        <v>18.224057377049174</v>
      </c>
      <c r="O58">
        <f t="shared" si="1"/>
        <v>332.11626728198041</v>
      </c>
      <c r="P58">
        <f>Таблица5[[#This Row],[Xi]]^2</f>
        <v>1444.7600999999997</v>
      </c>
      <c r="R58" s="3">
        <v>3</v>
      </c>
      <c r="S58">
        <f t="shared" si="2"/>
        <v>1.7213114754097703E-3</v>
      </c>
      <c r="T58">
        <f t="shared" si="3"/>
        <v>2.9629131953773601E-6</v>
      </c>
      <c r="U58">
        <f>Таблица6[[#This Row],[Yi]]^2</f>
        <v>9</v>
      </c>
      <c r="W58">
        <f>Таблица5[[#This Row],[Xi]]*Таблица6[[#This Row],[Yi]]</f>
        <v>114.03</v>
      </c>
    </row>
    <row r="59" spans="1:23" x14ac:dyDescent="0.25">
      <c r="A59" t="s">
        <v>116</v>
      </c>
      <c r="B59" t="s">
        <v>117</v>
      </c>
      <c r="C59" t="s">
        <v>9</v>
      </c>
      <c r="D59" t="s">
        <v>10</v>
      </c>
      <c r="E59" t="s">
        <v>51</v>
      </c>
      <c r="F59" t="s">
        <v>12</v>
      </c>
      <c r="G59">
        <v>2</v>
      </c>
      <c r="J59">
        <v>26.41</v>
      </c>
      <c r="K59">
        <v>1.5</v>
      </c>
      <c r="M59" s="2">
        <v>26.41</v>
      </c>
      <c r="N59">
        <f t="shared" si="0"/>
        <v>6.6240573770491764</v>
      </c>
      <c r="O59">
        <f t="shared" si="1"/>
        <v>43.878136134439615</v>
      </c>
      <c r="P59">
        <f>Таблица5[[#This Row],[Xi]]^2</f>
        <v>697.48810000000003</v>
      </c>
      <c r="R59" s="4">
        <v>1.5</v>
      </c>
      <c r="S59">
        <f t="shared" si="2"/>
        <v>-1.4982786885245902</v>
      </c>
      <c r="T59">
        <f t="shared" si="3"/>
        <v>2.2448390284869659</v>
      </c>
      <c r="U59">
        <f>Таблица6[[#This Row],[Yi]]^2</f>
        <v>2.25</v>
      </c>
      <c r="W59">
        <f>Таблица5[[#This Row],[Xi]]*Таблица6[[#This Row],[Yi]]</f>
        <v>39.615000000000002</v>
      </c>
    </row>
    <row r="60" spans="1:23" x14ac:dyDescent="0.25">
      <c r="A60" t="s">
        <v>118</v>
      </c>
      <c r="B60" t="s">
        <v>119</v>
      </c>
      <c r="C60" t="s">
        <v>15</v>
      </c>
      <c r="D60" t="s">
        <v>115</v>
      </c>
      <c r="E60" t="s">
        <v>51</v>
      </c>
      <c r="F60" t="s">
        <v>12</v>
      </c>
      <c r="G60">
        <v>2</v>
      </c>
      <c r="J60">
        <v>11.24</v>
      </c>
      <c r="K60">
        <v>1.76</v>
      </c>
      <c r="M60" s="1">
        <v>11.24</v>
      </c>
      <c r="N60">
        <f t="shared" si="0"/>
        <v>-8.5459426229508235</v>
      </c>
      <c r="O60">
        <f t="shared" si="1"/>
        <v>73.033135314767605</v>
      </c>
      <c r="P60">
        <f>Таблица5[[#This Row],[Xi]]^2</f>
        <v>126.33760000000001</v>
      </c>
      <c r="R60" s="3">
        <v>1.76</v>
      </c>
      <c r="S60">
        <f t="shared" si="2"/>
        <v>-1.2382786885245902</v>
      </c>
      <c r="T60">
        <f t="shared" si="3"/>
        <v>1.5333341104541791</v>
      </c>
      <c r="U60">
        <f>Таблица6[[#This Row],[Yi]]^2</f>
        <v>3.0975999999999999</v>
      </c>
      <c r="W60">
        <f>Таблица5[[#This Row],[Xi]]*Таблица6[[#This Row],[Yi]]</f>
        <v>19.782399999999999</v>
      </c>
    </row>
    <row r="61" spans="1:23" x14ac:dyDescent="0.25">
      <c r="A61" t="s">
        <v>120</v>
      </c>
      <c r="B61" t="s">
        <v>121</v>
      </c>
      <c r="C61" t="s">
        <v>15</v>
      </c>
      <c r="D61" t="s">
        <v>10</v>
      </c>
      <c r="E61" t="s">
        <v>51</v>
      </c>
      <c r="F61" t="s">
        <v>12</v>
      </c>
      <c r="G61">
        <v>4</v>
      </c>
      <c r="J61">
        <v>48.27</v>
      </c>
      <c r="K61">
        <v>6.73</v>
      </c>
      <c r="M61" s="2">
        <v>48.27</v>
      </c>
      <c r="N61">
        <f t="shared" si="0"/>
        <v>28.484057377049179</v>
      </c>
      <c r="O61">
        <f t="shared" si="1"/>
        <v>811.3415246590298</v>
      </c>
      <c r="P61">
        <f>Таблица5[[#This Row],[Xi]]^2</f>
        <v>2329.9929000000002</v>
      </c>
      <c r="R61" s="4">
        <v>6.73</v>
      </c>
      <c r="S61">
        <f t="shared" si="2"/>
        <v>3.7317213114754102</v>
      </c>
      <c r="T61">
        <f t="shared" si="3"/>
        <v>13.925743946519756</v>
      </c>
      <c r="U61">
        <f>Таблица6[[#This Row],[Yi]]^2</f>
        <v>45.292900000000003</v>
      </c>
      <c r="W61">
        <f>Таблица5[[#This Row],[Xi]]*Таблица6[[#This Row],[Yi]]</f>
        <v>324.85710000000006</v>
      </c>
    </row>
    <row r="62" spans="1:23" x14ac:dyDescent="0.25">
      <c r="A62" t="s">
        <v>54</v>
      </c>
      <c r="B62" t="s">
        <v>122</v>
      </c>
      <c r="C62" t="s">
        <v>15</v>
      </c>
      <c r="D62" t="s">
        <v>115</v>
      </c>
      <c r="E62" t="s">
        <v>51</v>
      </c>
      <c r="F62" t="s">
        <v>12</v>
      </c>
      <c r="G62">
        <v>2</v>
      </c>
      <c r="J62">
        <v>20.29</v>
      </c>
      <c r="K62">
        <v>3.21</v>
      </c>
      <c r="M62" s="1">
        <v>20.29</v>
      </c>
      <c r="N62">
        <f t="shared" si="0"/>
        <v>0.50405737704917541</v>
      </c>
      <c r="O62">
        <f t="shared" si="1"/>
        <v>0.25407383935769456</v>
      </c>
      <c r="P62">
        <f>Таблица5[[#This Row],[Xi]]^2</f>
        <v>411.68409999999994</v>
      </c>
      <c r="R62" s="3">
        <v>3.21</v>
      </c>
      <c r="S62">
        <f t="shared" si="2"/>
        <v>0.21172131147540973</v>
      </c>
      <c r="T62">
        <f t="shared" si="3"/>
        <v>4.4825913732867463E-2</v>
      </c>
      <c r="U62">
        <f>Таблица6[[#This Row],[Yi]]^2</f>
        <v>10.3041</v>
      </c>
      <c r="W62">
        <f>Таблица5[[#This Row],[Xi]]*Таблица6[[#This Row],[Yi]]</f>
        <v>65.130899999999997</v>
      </c>
    </row>
    <row r="63" spans="1:23" x14ac:dyDescent="0.25">
      <c r="A63" t="s">
        <v>123</v>
      </c>
      <c r="B63" t="s">
        <v>25</v>
      </c>
      <c r="C63" t="s">
        <v>15</v>
      </c>
      <c r="D63" t="s">
        <v>115</v>
      </c>
      <c r="E63" t="s">
        <v>51</v>
      </c>
      <c r="F63" t="s">
        <v>12</v>
      </c>
      <c r="G63">
        <v>2</v>
      </c>
      <c r="J63">
        <v>13.81</v>
      </c>
      <c r="K63">
        <v>2</v>
      </c>
      <c r="M63" s="2">
        <v>13.81</v>
      </c>
      <c r="N63">
        <f t="shared" si="0"/>
        <v>-5.9759426229508232</v>
      </c>
      <c r="O63">
        <f t="shared" si="1"/>
        <v>35.711890232800364</v>
      </c>
      <c r="P63">
        <f>Таблица5[[#This Row],[Xi]]^2</f>
        <v>190.71610000000001</v>
      </c>
      <c r="R63" s="4">
        <v>2</v>
      </c>
      <c r="S63">
        <f t="shared" si="2"/>
        <v>-0.99827868852459023</v>
      </c>
      <c r="T63">
        <f t="shared" si="3"/>
        <v>0.99656033996237581</v>
      </c>
      <c r="U63">
        <f>Таблица6[[#This Row],[Yi]]^2</f>
        <v>4</v>
      </c>
      <c r="W63">
        <f>Таблица5[[#This Row],[Xi]]*Таблица6[[#This Row],[Yi]]</f>
        <v>27.62</v>
      </c>
    </row>
    <row r="64" spans="1:23" x14ac:dyDescent="0.25">
      <c r="A64" t="s">
        <v>124</v>
      </c>
      <c r="B64" t="s">
        <v>125</v>
      </c>
      <c r="C64" t="s">
        <v>15</v>
      </c>
      <c r="D64" t="s">
        <v>115</v>
      </c>
      <c r="E64" t="s">
        <v>51</v>
      </c>
      <c r="F64" t="s">
        <v>12</v>
      </c>
      <c r="G64">
        <v>2</v>
      </c>
      <c r="J64">
        <v>11.02</v>
      </c>
      <c r="K64">
        <v>1.98</v>
      </c>
      <c r="M64" s="1">
        <v>11.02</v>
      </c>
      <c r="N64">
        <f t="shared" si="0"/>
        <v>-8.7659426229508242</v>
      </c>
      <c r="O64">
        <f t="shared" si="1"/>
        <v>76.841750068865977</v>
      </c>
      <c r="P64">
        <f>Таблица5[[#This Row],[Xi]]^2</f>
        <v>121.4404</v>
      </c>
      <c r="R64" s="3">
        <v>1.98</v>
      </c>
      <c r="S64">
        <f t="shared" si="2"/>
        <v>-1.0182786885245902</v>
      </c>
      <c r="T64">
        <f t="shared" si="3"/>
        <v>1.0368914875033595</v>
      </c>
      <c r="U64">
        <f>Таблица6[[#This Row],[Yi]]^2</f>
        <v>3.9203999999999999</v>
      </c>
      <c r="W64">
        <f>Таблица5[[#This Row],[Xi]]*Таблица6[[#This Row],[Yi]]</f>
        <v>21.819599999999998</v>
      </c>
    </row>
    <row r="65" spans="1:23" x14ac:dyDescent="0.25">
      <c r="A65" t="s">
        <v>96</v>
      </c>
      <c r="B65" t="s">
        <v>126</v>
      </c>
      <c r="C65" t="s">
        <v>15</v>
      </c>
      <c r="D65" t="s">
        <v>115</v>
      </c>
      <c r="E65" t="s">
        <v>51</v>
      </c>
      <c r="F65" t="s">
        <v>12</v>
      </c>
      <c r="G65">
        <v>4</v>
      </c>
      <c r="J65">
        <v>18.29</v>
      </c>
      <c r="K65">
        <v>3.76</v>
      </c>
      <c r="M65" s="2">
        <v>18.29</v>
      </c>
      <c r="N65">
        <f t="shared" si="0"/>
        <v>-1.4959426229508246</v>
      </c>
      <c r="O65">
        <f t="shared" si="1"/>
        <v>2.2378443311609928</v>
      </c>
      <c r="P65">
        <f>Таблица5[[#This Row],[Xi]]^2</f>
        <v>334.52409999999998</v>
      </c>
      <c r="R65" s="4">
        <v>3.76</v>
      </c>
      <c r="S65">
        <f t="shared" si="2"/>
        <v>0.76172131147540956</v>
      </c>
      <c r="T65">
        <f t="shared" si="3"/>
        <v>0.58021935635581789</v>
      </c>
      <c r="U65">
        <f>Таблица6[[#This Row],[Yi]]^2</f>
        <v>14.137599999999999</v>
      </c>
      <c r="W65">
        <f>Таблица5[[#This Row],[Xi]]*Таблица6[[#This Row],[Yi]]</f>
        <v>68.770399999999995</v>
      </c>
    </row>
    <row r="66" spans="1:23" x14ac:dyDescent="0.25">
      <c r="A66" t="s">
        <v>127</v>
      </c>
      <c r="B66" t="s">
        <v>128</v>
      </c>
      <c r="C66" t="s">
        <v>15</v>
      </c>
      <c r="D66" t="s">
        <v>10</v>
      </c>
      <c r="E66" t="s">
        <v>51</v>
      </c>
      <c r="F66" t="s">
        <v>12</v>
      </c>
      <c r="G66">
        <v>3</v>
      </c>
      <c r="J66">
        <v>17.59</v>
      </c>
      <c r="K66">
        <v>2.64</v>
      </c>
      <c r="M66" s="1">
        <v>17.59</v>
      </c>
      <c r="N66">
        <f t="shared" si="0"/>
        <v>-2.1959426229508239</v>
      </c>
      <c r="O66">
        <f t="shared" si="1"/>
        <v>4.8221640032921442</v>
      </c>
      <c r="P66">
        <f>Таблица5[[#This Row],[Xi]]^2</f>
        <v>309.40809999999999</v>
      </c>
      <c r="R66" s="3">
        <v>2.64</v>
      </c>
      <c r="S66">
        <f t="shared" si="2"/>
        <v>-0.35827868852459011</v>
      </c>
      <c r="T66">
        <f t="shared" si="3"/>
        <v>0.12836361865090026</v>
      </c>
      <c r="U66">
        <f>Таблица6[[#This Row],[Yi]]^2</f>
        <v>6.9696000000000007</v>
      </c>
      <c r="W66">
        <f>Таблица5[[#This Row],[Xi]]*Таблица6[[#This Row],[Yi]]</f>
        <v>46.437600000000003</v>
      </c>
    </row>
    <row r="67" spans="1:23" x14ac:dyDescent="0.25">
      <c r="A67" t="s">
        <v>129</v>
      </c>
      <c r="B67" t="s">
        <v>130</v>
      </c>
      <c r="C67" t="s">
        <v>15</v>
      </c>
      <c r="D67" t="s">
        <v>10</v>
      </c>
      <c r="E67" t="s">
        <v>51</v>
      </c>
      <c r="F67" t="s">
        <v>12</v>
      </c>
      <c r="G67">
        <v>3</v>
      </c>
      <c r="J67">
        <v>20.079999999999998</v>
      </c>
      <c r="K67">
        <v>3.15</v>
      </c>
      <c r="M67" s="2">
        <v>20.079999999999998</v>
      </c>
      <c r="N67">
        <f t="shared" ref="N67:N130" si="4">M67-$J$247</f>
        <v>0.29405737704917456</v>
      </c>
      <c r="O67">
        <f t="shared" ref="O67:O130" si="5">N67^2</f>
        <v>8.6469740997040412E-2</v>
      </c>
      <c r="P67">
        <f>Таблица5[[#This Row],[Xi]]^2</f>
        <v>403.20639999999992</v>
      </c>
      <c r="R67" s="4">
        <v>3.15</v>
      </c>
      <c r="S67">
        <f t="shared" ref="S67:S130" si="6">R67-$J$248</f>
        <v>0.15172131147540968</v>
      </c>
      <c r="T67">
        <f t="shared" ref="T67:T130" si="7">S67^2</f>
        <v>2.3019356355818282E-2</v>
      </c>
      <c r="U67">
        <f>Таблица6[[#This Row],[Yi]]^2</f>
        <v>9.9224999999999994</v>
      </c>
      <c r="W67">
        <f>Таблица5[[#This Row],[Xi]]*Таблица6[[#This Row],[Yi]]</f>
        <v>63.251999999999995</v>
      </c>
    </row>
    <row r="68" spans="1:23" x14ac:dyDescent="0.25">
      <c r="A68" t="s">
        <v>131</v>
      </c>
      <c r="B68" t="s">
        <v>132</v>
      </c>
      <c r="C68" t="s">
        <v>9</v>
      </c>
      <c r="D68" t="s">
        <v>10</v>
      </c>
      <c r="E68" t="s">
        <v>51</v>
      </c>
      <c r="F68" t="s">
        <v>12</v>
      </c>
      <c r="G68">
        <v>2</v>
      </c>
      <c r="J68">
        <v>16.45</v>
      </c>
      <c r="K68">
        <v>2.4700000000000002</v>
      </c>
      <c r="M68" s="1">
        <v>16.45</v>
      </c>
      <c r="N68">
        <f t="shared" si="4"/>
        <v>-3.3359426229508244</v>
      </c>
      <c r="O68">
        <f t="shared" si="5"/>
        <v>11.128513183620026</v>
      </c>
      <c r="P68">
        <f>Таблица5[[#This Row],[Xi]]^2</f>
        <v>270.60249999999996</v>
      </c>
      <c r="R68" s="3">
        <v>2.4700000000000002</v>
      </c>
      <c r="S68">
        <f t="shared" si="6"/>
        <v>-0.52827868852459003</v>
      </c>
      <c r="T68">
        <f t="shared" si="7"/>
        <v>0.27907837274926084</v>
      </c>
      <c r="U68">
        <f>Таблица6[[#This Row],[Yi]]^2</f>
        <v>6.1009000000000011</v>
      </c>
      <c r="W68">
        <f>Таблица5[[#This Row],[Xi]]*Таблица6[[#This Row],[Yi]]</f>
        <v>40.631500000000003</v>
      </c>
    </row>
    <row r="69" spans="1:23" x14ac:dyDescent="0.25">
      <c r="A69" t="s">
        <v>82</v>
      </c>
      <c r="B69" t="s">
        <v>133</v>
      </c>
      <c r="C69" t="s">
        <v>9</v>
      </c>
      <c r="D69" t="s">
        <v>115</v>
      </c>
      <c r="E69" t="s">
        <v>51</v>
      </c>
      <c r="F69" t="s">
        <v>12</v>
      </c>
      <c r="G69">
        <v>1</v>
      </c>
      <c r="J69">
        <v>3.07</v>
      </c>
      <c r="K69">
        <v>1</v>
      </c>
      <c r="M69" s="2">
        <v>3.07</v>
      </c>
      <c r="N69">
        <f t="shared" si="4"/>
        <v>-16.715942622950823</v>
      </c>
      <c r="O69">
        <f t="shared" si="5"/>
        <v>279.42273777378404</v>
      </c>
      <c r="P69">
        <f>Таблица5[[#This Row],[Xi]]^2</f>
        <v>9.4248999999999992</v>
      </c>
      <c r="R69" s="4">
        <v>1</v>
      </c>
      <c r="S69">
        <f t="shared" si="6"/>
        <v>-1.9982786885245902</v>
      </c>
      <c r="T69">
        <f t="shared" si="7"/>
        <v>3.9931177170115562</v>
      </c>
      <c r="U69">
        <f>Таблица6[[#This Row],[Yi]]^2</f>
        <v>1</v>
      </c>
      <c r="W69">
        <f>Таблица5[[#This Row],[Xi]]*Таблица6[[#This Row],[Yi]]</f>
        <v>3.07</v>
      </c>
    </row>
    <row r="70" spans="1:23" x14ac:dyDescent="0.25">
      <c r="A70" t="s">
        <v>134</v>
      </c>
      <c r="B70" t="s">
        <v>135</v>
      </c>
      <c r="C70" t="s">
        <v>15</v>
      </c>
      <c r="D70" t="s">
        <v>10</v>
      </c>
      <c r="E70" t="s">
        <v>51</v>
      </c>
      <c r="F70" t="s">
        <v>12</v>
      </c>
      <c r="G70">
        <v>2</v>
      </c>
      <c r="J70">
        <v>20.23</v>
      </c>
      <c r="K70">
        <v>2.0099999999999998</v>
      </c>
      <c r="M70" s="1">
        <v>20.23</v>
      </c>
      <c r="N70">
        <f t="shared" si="4"/>
        <v>0.44405737704917669</v>
      </c>
      <c r="O70">
        <f t="shared" si="5"/>
        <v>0.19718695411179468</v>
      </c>
      <c r="P70">
        <f>Таблица5[[#This Row],[Xi]]^2</f>
        <v>409.25290000000001</v>
      </c>
      <c r="R70" s="3">
        <v>2.0099999999999998</v>
      </c>
      <c r="S70">
        <f t="shared" si="6"/>
        <v>-0.98827868852459044</v>
      </c>
      <c r="T70">
        <f t="shared" si="7"/>
        <v>0.97669476619188444</v>
      </c>
      <c r="U70">
        <f>Таблица6[[#This Row],[Yi]]^2</f>
        <v>4.0400999999999989</v>
      </c>
      <c r="W70">
        <f>Таблица5[[#This Row],[Xi]]*Таблица6[[#This Row],[Yi]]</f>
        <v>40.662299999999995</v>
      </c>
    </row>
    <row r="71" spans="1:23" x14ac:dyDescent="0.25">
      <c r="A71" t="s">
        <v>136</v>
      </c>
      <c r="B71" t="s">
        <v>137</v>
      </c>
      <c r="C71" t="s">
        <v>15</v>
      </c>
      <c r="D71" t="s">
        <v>115</v>
      </c>
      <c r="E71" t="s">
        <v>51</v>
      </c>
      <c r="F71" t="s">
        <v>12</v>
      </c>
      <c r="G71">
        <v>2</v>
      </c>
      <c r="J71">
        <v>15.01</v>
      </c>
      <c r="K71">
        <v>2.09</v>
      </c>
      <c r="M71" s="2">
        <v>15.01</v>
      </c>
      <c r="N71">
        <f t="shared" si="4"/>
        <v>-4.7759426229508239</v>
      </c>
      <c r="O71">
        <f t="shared" si="5"/>
        <v>22.809627937718396</v>
      </c>
      <c r="P71">
        <f>Таблица5[[#This Row],[Xi]]^2</f>
        <v>225.30009999999999</v>
      </c>
      <c r="R71" s="4">
        <v>2.09</v>
      </c>
      <c r="S71">
        <f t="shared" si="6"/>
        <v>-0.90827868852459037</v>
      </c>
      <c r="T71">
        <f t="shared" si="7"/>
        <v>0.82497017602794986</v>
      </c>
      <c r="U71">
        <f>Таблица6[[#This Row],[Yi]]^2</f>
        <v>4.3680999999999992</v>
      </c>
      <c r="W71">
        <f>Таблица5[[#This Row],[Xi]]*Таблица6[[#This Row],[Yi]]</f>
        <v>31.370899999999999</v>
      </c>
    </row>
    <row r="72" spans="1:23" x14ac:dyDescent="0.25">
      <c r="A72" t="s">
        <v>138</v>
      </c>
      <c r="B72" t="s">
        <v>139</v>
      </c>
      <c r="C72" t="s">
        <v>15</v>
      </c>
      <c r="D72" t="s">
        <v>10</v>
      </c>
      <c r="E72" t="s">
        <v>51</v>
      </c>
      <c r="F72" t="s">
        <v>12</v>
      </c>
      <c r="G72">
        <v>2</v>
      </c>
      <c r="J72">
        <v>12.02</v>
      </c>
      <c r="K72">
        <v>1.97</v>
      </c>
      <c r="M72" s="1">
        <v>12.02</v>
      </c>
      <c r="N72">
        <f t="shared" si="4"/>
        <v>-7.7659426229508242</v>
      </c>
      <c r="O72">
        <f t="shared" si="5"/>
        <v>60.309864822964329</v>
      </c>
      <c r="P72">
        <f>Таблица5[[#This Row],[Xi]]^2</f>
        <v>144.4804</v>
      </c>
      <c r="R72" s="3">
        <v>1.97</v>
      </c>
      <c r="S72">
        <f t="shared" si="6"/>
        <v>-1.0282786885245903</v>
      </c>
      <c r="T72">
        <f t="shared" si="7"/>
        <v>1.0573570612738512</v>
      </c>
      <c r="U72">
        <f>Таблица6[[#This Row],[Yi]]^2</f>
        <v>3.8809</v>
      </c>
      <c r="W72">
        <f>Таблица5[[#This Row],[Xi]]*Таблица6[[#This Row],[Yi]]</f>
        <v>23.679399999999998</v>
      </c>
    </row>
    <row r="73" spans="1:23" x14ac:dyDescent="0.25">
      <c r="A73" t="s">
        <v>140</v>
      </c>
      <c r="B73" t="s">
        <v>39</v>
      </c>
      <c r="C73" t="s">
        <v>9</v>
      </c>
      <c r="D73" t="s">
        <v>10</v>
      </c>
      <c r="E73" t="s">
        <v>51</v>
      </c>
      <c r="F73" t="s">
        <v>12</v>
      </c>
      <c r="G73">
        <v>3</v>
      </c>
      <c r="J73">
        <v>17.07</v>
      </c>
      <c r="K73">
        <v>3</v>
      </c>
      <c r="M73" s="2">
        <v>17.07</v>
      </c>
      <c r="N73">
        <f t="shared" si="4"/>
        <v>-2.7159426229508234</v>
      </c>
      <c r="O73">
        <f t="shared" si="5"/>
        <v>7.3763443311609986</v>
      </c>
      <c r="P73">
        <f>Таблица5[[#This Row],[Xi]]^2</f>
        <v>291.38490000000002</v>
      </c>
      <c r="R73" s="4">
        <v>3</v>
      </c>
      <c r="S73">
        <f t="shared" si="6"/>
        <v>1.7213114754097703E-3</v>
      </c>
      <c r="T73">
        <f t="shared" si="7"/>
        <v>2.9629131953773601E-6</v>
      </c>
      <c r="U73">
        <f>Таблица6[[#This Row],[Yi]]^2</f>
        <v>9</v>
      </c>
      <c r="W73">
        <f>Таблица5[[#This Row],[Xi]]*Таблица6[[#This Row],[Yi]]</f>
        <v>51.21</v>
      </c>
    </row>
    <row r="74" spans="1:23" x14ac:dyDescent="0.25">
      <c r="A74" t="s">
        <v>141</v>
      </c>
      <c r="B74" t="s">
        <v>142</v>
      </c>
      <c r="C74" t="s">
        <v>9</v>
      </c>
      <c r="D74" t="s">
        <v>115</v>
      </c>
      <c r="E74" t="s">
        <v>51</v>
      </c>
      <c r="F74" t="s">
        <v>12</v>
      </c>
      <c r="G74">
        <v>2</v>
      </c>
      <c r="J74">
        <v>26.86</v>
      </c>
      <c r="K74">
        <v>3.14</v>
      </c>
      <c r="M74" s="1">
        <v>26.86</v>
      </c>
      <c r="N74">
        <f t="shared" si="4"/>
        <v>7.0740573770491757</v>
      </c>
      <c r="O74">
        <f t="shared" si="5"/>
        <v>50.042287773783862</v>
      </c>
      <c r="P74">
        <f>Таблица5[[#This Row],[Xi]]^2</f>
        <v>721.45960000000002</v>
      </c>
      <c r="R74" s="3">
        <v>3.14</v>
      </c>
      <c r="S74">
        <f t="shared" si="6"/>
        <v>0.14172131147540989</v>
      </c>
      <c r="T74">
        <f t="shared" si="7"/>
        <v>2.0084930126310147E-2</v>
      </c>
      <c r="U74">
        <f>Таблица6[[#This Row],[Yi]]^2</f>
        <v>9.8596000000000004</v>
      </c>
      <c r="W74">
        <f>Таблица5[[#This Row],[Xi]]*Таблица6[[#This Row],[Yi]]</f>
        <v>84.340400000000002</v>
      </c>
    </row>
    <row r="75" spans="1:23" x14ac:dyDescent="0.25">
      <c r="A75" t="s">
        <v>143</v>
      </c>
      <c r="B75" t="s">
        <v>35</v>
      </c>
      <c r="C75" t="s">
        <v>9</v>
      </c>
      <c r="D75" t="s">
        <v>115</v>
      </c>
      <c r="E75" t="s">
        <v>51</v>
      </c>
      <c r="F75" t="s">
        <v>12</v>
      </c>
      <c r="G75">
        <v>2</v>
      </c>
      <c r="J75">
        <v>25.28</v>
      </c>
      <c r="K75">
        <v>5</v>
      </c>
      <c r="M75" s="2">
        <v>25.28</v>
      </c>
      <c r="N75">
        <f t="shared" si="4"/>
        <v>5.4940573770491774</v>
      </c>
      <c r="O75">
        <f t="shared" si="5"/>
        <v>30.184666462308488</v>
      </c>
      <c r="P75">
        <f>Таблица5[[#This Row],[Xi]]^2</f>
        <v>639.0784000000001</v>
      </c>
      <c r="R75" s="4">
        <v>5</v>
      </c>
      <c r="S75">
        <f t="shared" si="6"/>
        <v>2.0017213114754098</v>
      </c>
      <c r="T75">
        <f t="shared" si="7"/>
        <v>4.0068882088148348</v>
      </c>
      <c r="U75">
        <f>Таблица6[[#This Row],[Yi]]^2</f>
        <v>25</v>
      </c>
      <c r="W75">
        <f>Таблица5[[#This Row],[Xi]]*Таблица6[[#This Row],[Yi]]</f>
        <v>126.4</v>
      </c>
    </row>
    <row r="76" spans="1:23" x14ac:dyDescent="0.25">
      <c r="A76" t="s">
        <v>144</v>
      </c>
      <c r="B76" t="s">
        <v>145</v>
      </c>
      <c r="C76" t="s">
        <v>9</v>
      </c>
      <c r="D76" t="s">
        <v>10</v>
      </c>
      <c r="E76" t="s">
        <v>51</v>
      </c>
      <c r="F76" t="s">
        <v>12</v>
      </c>
      <c r="G76">
        <v>2</v>
      </c>
      <c r="J76">
        <v>14.73</v>
      </c>
      <c r="K76">
        <v>2.2000000000000002</v>
      </c>
      <c r="M76" s="1">
        <v>14.73</v>
      </c>
      <c r="N76">
        <f t="shared" si="4"/>
        <v>-5.0559426229508233</v>
      </c>
      <c r="O76">
        <f t="shared" si="5"/>
        <v>25.562555806570852</v>
      </c>
      <c r="P76">
        <f>Таблица5[[#This Row],[Xi]]^2</f>
        <v>216.97290000000001</v>
      </c>
      <c r="R76" s="3">
        <v>2.2000000000000002</v>
      </c>
      <c r="S76">
        <f t="shared" si="6"/>
        <v>-0.79827868852459005</v>
      </c>
      <c r="T76">
        <f t="shared" si="7"/>
        <v>0.63724886455253948</v>
      </c>
      <c r="U76">
        <f>Таблица6[[#This Row],[Yi]]^2</f>
        <v>4.8400000000000007</v>
      </c>
      <c r="W76">
        <f>Таблица5[[#This Row],[Xi]]*Таблица6[[#This Row],[Yi]]</f>
        <v>32.406000000000006</v>
      </c>
    </row>
    <row r="77" spans="1:23" x14ac:dyDescent="0.25">
      <c r="A77" t="s">
        <v>146</v>
      </c>
      <c r="B77" t="s">
        <v>147</v>
      </c>
      <c r="C77" t="s">
        <v>15</v>
      </c>
      <c r="D77" t="s">
        <v>10</v>
      </c>
      <c r="E77" t="s">
        <v>51</v>
      </c>
      <c r="F77" t="s">
        <v>12</v>
      </c>
      <c r="G77">
        <v>2</v>
      </c>
      <c r="J77">
        <v>10.51</v>
      </c>
      <c r="K77">
        <v>1.25</v>
      </c>
      <c r="M77" s="2">
        <v>10.51</v>
      </c>
      <c r="N77">
        <f t="shared" si="4"/>
        <v>-9.2759426229508239</v>
      </c>
      <c r="O77">
        <f t="shared" si="5"/>
        <v>86.043111544275817</v>
      </c>
      <c r="P77">
        <f>Таблица5[[#This Row],[Xi]]^2</f>
        <v>110.4601</v>
      </c>
      <c r="R77" s="4">
        <v>1.25</v>
      </c>
      <c r="S77">
        <f t="shared" si="6"/>
        <v>-1.7482786885245902</v>
      </c>
      <c r="T77">
        <f t="shared" si="7"/>
        <v>3.056478372749261</v>
      </c>
      <c r="U77">
        <f>Таблица6[[#This Row],[Yi]]^2</f>
        <v>1.5625</v>
      </c>
      <c r="W77">
        <f>Таблица5[[#This Row],[Xi]]*Таблица6[[#This Row],[Yi]]</f>
        <v>13.137499999999999</v>
      </c>
    </row>
    <row r="78" spans="1:23" x14ac:dyDescent="0.25">
      <c r="A78" t="s">
        <v>52</v>
      </c>
      <c r="B78" t="s">
        <v>148</v>
      </c>
      <c r="C78" t="s">
        <v>15</v>
      </c>
      <c r="D78" t="s">
        <v>115</v>
      </c>
      <c r="E78" t="s">
        <v>51</v>
      </c>
      <c r="F78" t="s">
        <v>12</v>
      </c>
      <c r="G78">
        <v>2</v>
      </c>
      <c r="J78">
        <v>17.920000000000002</v>
      </c>
      <c r="K78">
        <v>3.08</v>
      </c>
      <c r="M78" s="1">
        <v>17.920000000000002</v>
      </c>
      <c r="N78">
        <f t="shared" si="4"/>
        <v>-1.865942622950822</v>
      </c>
      <c r="O78">
        <f t="shared" si="5"/>
        <v>3.4817418721445934</v>
      </c>
      <c r="P78">
        <f>Таблица5[[#This Row],[Xi]]^2</f>
        <v>321.12640000000005</v>
      </c>
      <c r="R78" s="3">
        <v>3.08</v>
      </c>
      <c r="S78">
        <f t="shared" si="6"/>
        <v>8.1721311475409841E-2</v>
      </c>
      <c r="T78">
        <f t="shared" si="7"/>
        <v>6.678372749260952E-3</v>
      </c>
      <c r="U78">
        <f>Таблица6[[#This Row],[Yi]]^2</f>
        <v>9.4863999999999997</v>
      </c>
      <c r="W78">
        <f>Таблица5[[#This Row],[Xi]]*Таблица6[[#This Row],[Yi]]</f>
        <v>55.193600000000004</v>
      </c>
    </row>
    <row r="79" spans="1:23" x14ac:dyDescent="0.25">
      <c r="A79" t="s">
        <v>149</v>
      </c>
      <c r="B79" t="s">
        <v>150</v>
      </c>
      <c r="C79" t="s">
        <v>15</v>
      </c>
      <c r="D79" t="s">
        <v>10</v>
      </c>
      <c r="E79" t="s">
        <v>151</v>
      </c>
      <c r="F79" t="s">
        <v>152</v>
      </c>
      <c r="G79">
        <v>4</v>
      </c>
      <c r="J79">
        <v>27.2</v>
      </c>
      <c r="K79">
        <v>4</v>
      </c>
      <c r="M79" s="2">
        <v>27.2</v>
      </c>
      <c r="N79">
        <f t="shared" si="4"/>
        <v>7.4140573770491756</v>
      </c>
      <c r="O79">
        <f t="shared" si="5"/>
        <v>54.968246790177304</v>
      </c>
      <c r="P79">
        <f>Таблица5[[#This Row],[Xi]]^2</f>
        <v>739.83999999999992</v>
      </c>
      <c r="R79" s="4">
        <v>4</v>
      </c>
      <c r="S79">
        <f t="shared" si="6"/>
        <v>1.0017213114754098</v>
      </c>
      <c r="T79">
        <f t="shared" si="7"/>
        <v>1.003445585864015</v>
      </c>
      <c r="U79">
        <f>Таблица6[[#This Row],[Yi]]^2</f>
        <v>16</v>
      </c>
      <c r="W79">
        <f>Таблица5[[#This Row],[Xi]]*Таблица6[[#This Row],[Yi]]</f>
        <v>108.8</v>
      </c>
    </row>
    <row r="80" spans="1:23" x14ac:dyDescent="0.25">
      <c r="A80" t="s">
        <v>153</v>
      </c>
      <c r="B80" t="s">
        <v>39</v>
      </c>
      <c r="C80" t="s">
        <v>15</v>
      </c>
      <c r="D80" t="s">
        <v>10</v>
      </c>
      <c r="E80" t="s">
        <v>151</v>
      </c>
      <c r="F80" t="s">
        <v>152</v>
      </c>
      <c r="G80">
        <v>2</v>
      </c>
      <c r="J80">
        <v>22.76</v>
      </c>
      <c r="K80">
        <v>3</v>
      </c>
      <c r="M80" s="1">
        <v>22.76</v>
      </c>
      <c r="N80">
        <f t="shared" si="4"/>
        <v>2.9740573770491778</v>
      </c>
      <c r="O80">
        <f t="shared" si="5"/>
        <v>8.8450172819806347</v>
      </c>
      <c r="P80">
        <f>Таблица5[[#This Row],[Xi]]^2</f>
        <v>518.01760000000002</v>
      </c>
      <c r="R80" s="3">
        <v>3</v>
      </c>
      <c r="S80">
        <f t="shared" si="6"/>
        <v>1.7213114754097703E-3</v>
      </c>
      <c r="T80">
        <f t="shared" si="7"/>
        <v>2.9629131953773601E-6</v>
      </c>
      <c r="U80">
        <f>Таблица6[[#This Row],[Yi]]^2</f>
        <v>9</v>
      </c>
      <c r="W80">
        <f>Таблица5[[#This Row],[Xi]]*Таблица6[[#This Row],[Yi]]</f>
        <v>68.28</v>
      </c>
    </row>
    <row r="81" spans="1:23" x14ac:dyDescent="0.25">
      <c r="A81" t="s">
        <v>154</v>
      </c>
      <c r="B81" t="s">
        <v>155</v>
      </c>
      <c r="C81" t="s">
        <v>15</v>
      </c>
      <c r="D81" t="s">
        <v>10</v>
      </c>
      <c r="E81" t="s">
        <v>151</v>
      </c>
      <c r="F81" t="s">
        <v>152</v>
      </c>
      <c r="G81">
        <v>2</v>
      </c>
      <c r="J81">
        <v>17.29</v>
      </c>
      <c r="K81">
        <v>2.71</v>
      </c>
      <c r="M81" s="2">
        <v>17.29</v>
      </c>
      <c r="N81">
        <f t="shared" si="4"/>
        <v>-2.4959426229508246</v>
      </c>
      <c r="O81">
        <f t="shared" si="5"/>
        <v>6.229729577062642</v>
      </c>
      <c r="P81">
        <f>Таблица5[[#This Row],[Xi]]^2</f>
        <v>298.94409999999999</v>
      </c>
      <c r="R81" s="4">
        <v>2.71</v>
      </c>
      <c r="S81">
        <f t="shared" si="6"/>
        <v>-0.28827868852459027</v>
      </c>
      <c r="T81">
        <f t="shared" si="7"/>
        <v>8.3104602257457735E-2</v>
      </c>
      <c r="U81">
        <f>Таблица6[[#This Row],[Yi]]^2</f>
        <v>7.3441000000000001</v>
      </c>
      <c r="W81">
        <f>Таблица5[[#This Row],[Xi]]*Таблица6[[#This Row],[Yi]]</f>
        <v>46.855899999999998</v>
      </c>
    </row>
    <row r="82" spans="1:23" x14ac:dyDescent="0.25">
      <c r="A82" t="s">
        <v>156</v>
      </c>
      <c r="B82" t="s">
        <v>39</v>
      </c>
      <c r="C82" t="s">
        <v>15</v>
      </c>
      <c r="D82" t="s">
        <v>115</v>
      </c>
      <c r="E82" t="s">
        <v>151</v>
      </c>
      <c r="F82" t="s">
        <v>152</v>
      </c>
      <c r="G82">
        <v>2</v>
      </c>
      <c r="J82">
        <v>19.440000000000001</v>
      </c>
      <c r="K82">
        <v>3</v>
      </c>
      <c r="M82" s="1">
        <v>19.440000000000001</v>
      </c>
      <c r="N82">
        <f t="shared" si="4"/>
        <v>-0.34594262295082245</v>
      </c>
      <c r="O82">
        <f t="shared" si="5"/>
        <v>0.11967629837409491</v>
      </c>
      <c r="P82">
        <f>Таблица5[[#This Row],[Xi]]^2</f>
        <v>377.91360000000003</v>
      </c>
      <c r="R82" s="3">
        <v>3</v>
      </c>
      <c r="S82">
        <f t="shared" si="6"/>
        <v>1.7213114754097703E-3</v>
      </c>
      <c r="T82">
        <f t="shared" si="7"/>
        <v>2.9629131953773601E-6</v>
      </c>
      <c r="U82">
        <f>Таблица6[[#This Row],[Yi]]^2</f>
        <v>9</v>
      </c>
      <c r="W82">
        <f>Таблица5[[#This Row],[Xi]]*Таблица6[[#This Row],[Yi]]</f>
        <v>58.320000000000007</v>
      </c>
    </row>
    <row r="83" spans="1:23" x14ac:dyDescent="0.25">
      <c r="A83" t="s">
        <v>157</v>
      </c>
      <c r="B83" t="s">
        <v>158</v>
      </c>
      <c r="C83" t="s">
        <v>15</v>
      </c>
      <c r="D83" t="s">
        <v>10</v>
      </c>
      <c r="E83" t="s">
        <v>151</v>
      </c>
      <c r="F83" t="s">
        <v>152</v>
      </c>
      <c r="G83">
        <v>2</v>
      </c>
      <c r="J83">
        <v>16.66</v>
      </c>
      <c r="K83">
        <v>3.4</v>
      </c>
      <c r="M83" s="2">
        <v>16.66</v>
      </c>
      <c r="N83">
        <f t="shared" si="4"/>
        <v>-3.1259426229508236</v>
      </c>
      <c r="O83">
        <f t="shared" si="5"/>
        <v>9.7715172819806746</v>
      </c>
      <c r="P83">
        <f>Таблица5[[#This Row],[Xi]]^2</f>
        <v>277.55560000000003</v>
      </c>
      <c r="R83" s="4">
        <v>3.4</v>
      </c>
      <c r="S83">
        <f t="shared" si="6"/>
        <v>0.40172131147540968</v>
      </c>
      <c r="T83">
        <f t="shared" si="7"/>
        <v>0.16138001209352312</v>
      </c>
      <c r="U83">
        <f>Таблица6[[#This Row],[Yi]]^2</f>
        <v>11.559999999999999</v>
      </c>
      <c r="W83">
        <f>Таблица5[[#This Row],[Xi]]*Таблица6[[#This Row],[Yi]]</f>
        <v>56.643999999999998</v>
      </c>
    </row>
    <row r="84" spans="1:23" x14ac:dyDescent="0.25">
      <c r="A84" t="s">
        <v>159</v>
      </c>
      <c r="B84" t="s">
        <v>160</v>
      </c>
      <c r="C84" t="s">
        <v>9</v>
      </c>
      <c r="D84" t="s">
        <v>10</v>
      </c>
      <c r="E84" t="s">
        <v>151</v>
      </c>
      <c r="F84" t="s">
        <v>152</v>
      </c>
      <c r="G84">
        <v>1</v>
      </c>
      <c r="J84">
        <v>10.07</v>
      </c>
      <c r="K84">
        <v>1.83</v>
      </c>
      <c r="M84" s="1">
        <v>10.07</v>
      </c>
      <c r="N84">
        <f t="shared" si="4"/>
        <v>-9.7159426229508234</v>
      </c>
      <c r="O84">
        <f t="shared" si="5"/>
        <v>94.399541052472529</v>
      </c>
      <c r="P84">
        <f>Таблица5[[#This Row],[Xi]]^2</f>
        <v>101.40490000000001</v>
      </c>
      <c r="R84" s="3">
        <v>1.83</v>
      </c>
      <c r="S84">
        <f t="shared" si="6"/>
        <v>-1.1682786885245902</v>
      </c>
      <c r="T84">
        <f t="shared" si="7"/>
        <v>1.3648750940607364</v>
      </c>
      <c r="U84">
        <f>Таблица6[[#This Row],[Yi]]^2</f>
        <v>3.3489000000000004</v>
      </c>
      <c r="W84">
        <f>Таблица5[[#This Row],[Xi]]*Таблица6[[#This Row],[Yi]]</f>
        <v>18.428100000000001</v>
      </c>
    </row>
    <row r="85" spans="1:23" x14ac:dyDescent="0.25">
      <c r="A85" t="s">
        <v>161</v>
      </c>
      <c r="B85" t="s">
        <v>35</v>
      </c>
      <c r="C85" t="s">
        <v>15</v>
      </c>
      <c r="D85" t="s">
        <v>115</v>
      </c>
      <c r="E85" t="s">
        <v>151</v>
      </c>
      <c r="F85" t="s">
        <v>152</v>
      </c>
      <c r="G85">
        <v>2</v>
      </c>
      <c r="J85">
        <v>32.68</v>
      </c>
      <c r="K85">
        <v>5</v>
      </c>
      <c r="M85" s="2">
        <v>32.68</v>
      </c>
      <c r="N85">
        <f t="shared" si="4"/>
        <v>12.894057377049176</v>
      </c>
      <c r="O85">
        <f t="shared" si="5"/>
        <v>166.25671564263627</v>
      </c>
      <c r="P85">
        <f>Таблица5[[#This Row],[Xi]]^2</f>
        <v>1067.9823999999999</v>
      </c>
      <c r="R85" s="4">
        <v>5</v>
      </c>
      <c r="S85">
        <f t="shared" si="6"/>
        <v>2.0017213114754098</v>
      </c>
      <c r="T85">
        <f t="shared" si="7"/>
        <v>4.0068882088148348</v>
      </c>
      <c r="U85">
        <f>Таблица6[[#This Row],[Yi]]^2</f>
        <v>25</v>
      </c>
      <c r="W85">
        <f>Таблица5[[#This Row],[Xi]]*Таблица6[[#This Row],[Yi]]</f>
        <v>163.4</v>
      </c>
    </row>
    <row r="86" spans="1:23" x14ac:dyDescent="0.25">
      <c r="A86" t="s">
        <v>162</v>
      </c>
      <c r="B86" t="s">
        <v>163</v>
      </c>
      <c r="C86" t="s">
        <v>15</v>
      </c>
      <c r="D86" t="s">
        <v>10</v>
      </c>
      <c r="E86" t="s">
        <v>151</v>
      </c>
      <c r="F86" t="s">
        <v>152</v>
      </c>
      <c r="G86">
        <v>2</v>
      </c>
      <c r="J86">
        <v>15.98</v>
      </c>
      <c r="K86">
        <v>2.0299999999999998</v>
      </c>
      <c r="M86" s="1">
        <v>15.98</v>
      </c>
      <c r="N86">
        <f t="shared" si="4"/>
        <v>-3.8059426229508233</v>
      </c>
      <c r="O86">
        <f t="shared" si="5"/>
        <v>14.485199249193792</v>
      </c>
      <c r="P86">
        <f>Таблица5[[#This Row],[Xi]]^2</f>
        <v>255.36040000000003</v>
      </c>
      <c r="R86" s="3">
        <v>2.0299999999999998</v>
      </c>
      <c r="S86">
        <f t="shared" si="6"/>
        <v>-0.96827868852459043</v>
      </c>
      <c r="T86">
        <f t="shared" si="7"/>
        <v>0.93756361865090077</v>
      </c>
      <c r="U86">
        <f>Таблица6[[#This Row],[Yi]]^2</f>
        <v>4.1208999999999989</v>
      </c>
      <c r="W86">
        <f>Таблица5[[#This Row],[Xi]]*Таблица6[[#This Row],[Yi]]</f>
        <v>32.439399999999999</v>
      </c>
    </row>
    <row r="87" spans="1:23" x14ac:dyDescent="0.25">
      <c r="A87" t="s">
        <v>164</v>
      </c>
      <c r="B87" t="s">
        <v>165</v>
      </c>
      <c r="C87" t="s">
        <v>9</v>
      </c>
      <c r="D87" t="s">
        <v>10</v>
      </c>
      <c r="E87" t="s">
        <v>151</v>
      </c>
      <c r="F87" t="s">
        <v>152</v>
      </c>
      <c r="G87">
        <v>4</v>
      </c>
      <c r="J87">
        <v>34.83</v>
      </c>
      <c r="K87">
        <v>5.17</v>
      </c>
      <c r="M87" s="2">
        <v>34.83</v>
      </c>
      <c r="N87">
        <f t="shared" si="4"/>
        <v>15.044057377049175</v>
      </c>
      <c r="O87">
        <f t="shared" si="5"/>
        <v>226.32366236394768</v>
      </c>
      <c r="P87">
        <f>Таблица5[[#This Row],[Xi]]^2</f>
        <v>1213.1288999999999</v>
      </c>
      <c r="R87" s="4">
        <v>5.17</v>
      </c>
      <c r="S87">
        <f t="shared" si="6"/>
        <v>2.1717213114754097</v>
      </c>
      <c r="T87">
        <f t="shared" si="7"/>
        <v>4.7163734547164733</v>
      </c>
      <c r="U87">
        <f>Таблица6[[#This Row],[Yi]]^2</f>
        <v>26.728899999999999</v>
      </c>
      <c r="W87">
        <f>Таблица5[[#This Row],[Xi]]*Таблица6[[#This Row],[Yi]]</f>
        <v>180.0711</v>
      </c>
    </row>
    <row r="88" spans="1:23" x14ac:dyDescent="0.25">
      <c r="A88" t="s">
        <v>166</v>
      </c>
      <c r="B88" t="s">
        <v>25</v>
      </c>
      <c r="C88" t="s">
        <v>15</v>
      </c>
      <c r="D88" t="s">
        <v>10</v>
      </c>
      <c r="E88" t="s">
        <v>151</v>
      </c>
      <c r="F88" t="s">
        <v>152</v>
      </c>
      <c r="G88">
        <v>2</v>
      </c>
      <c r="J88">
        <v>13.03</v>
      </c>
      <c r="K88">
        <v>2</v>
      </c>
      <c r="M88" s="1">
        <v>13.03</v>
      </c>
      <c r="N88">
        <f t="shared" si="4"/>
        <v>-6.7559426229508244</v>
      </c>
      <c r="O88">
        <f t="shared" si="5"/>
        <v>45.642760724603662</v>
      </c>
      <c r="P88">
        <f>Таблица5[[#This Row],[Xi]]^2</f>
        <v>169.78089999999997</v>
      </c>
      <c r="R88" s="3">
        <v>2</v>
      </c>
      <c r="S88">
        <f t="shared" si="6"/>
        <v>-0.99827868852459023</v>
      </c>
      <c r="T88">
        <f t="shared" si="7"/>
        <v>0.99656033996237581</v>
      </c>
      <c r="U88">
        <f>Таблица6[[#This Row],[Yi]]^2</f>
        <v>4</v>
      </c>
      <c r="W88">
        <f>Таблица5[[#This Row],[Xi]]*Таблица6[[#This Row],[Yi]]</f>
        <v>26.06</v>
      </c>
    </row>
    <row r="89" spans="1:23" x14ac:dyDescent="0.25">
      <c r="A89" t="s">
        <v>167</v>
      </c>
      <c r="B89" t="s">
        <v>150</v>
      </c>
      <c r="C89" t="s">
        <v>15</v>
      </c>
      <c r="D89" t="s">
        <v>10</v>
      </c>
      <c r="E89" t="s">
        <v>151</v>
      </c>
      <c r="F89" t="s">
        <v>152</v>
      </c>
      <c r="G89">
        <v>2</v>
      </c>
      <c r="J89">
        <v>18.28</v>
      </c>
      <c r="K89">
        <v>4</v>
      </c>
      <c r="M89" s="2">
        <v>18.28</v>
      </c>
      <c r="N89">
        <f t="shared" si="4"/>
        <v>-1.5059426229508226</v>
      </c>
      <c r="O89">
        <f t="shared" si="5"/>
        <v>2.2678631836200034</v>
      </c>
      <c r="P89">
        <f>Таблица5[[#This Row],[Xi]]^2</f>
        <v>334.15840000000003</v>
      </c>
      <c r="R89" s="4">
        <v>4</v>
      </c>
      <c r="S89">
        <f t="shared" si="6"/>
        <v>1.0017213114754098</v>
      </c>
      <c r="T89">
        <f t="shared" si="7"/>
        <v>1.003445585864015</v>
      </c>
      <c r="U89">
        <f>Таблица6[[#This Row],[Yi]]^2</f>
        <v>16</v>
      </c>
      <c r="W89">
        <f>Таблица5[[#This Row],[Xi]]*Таблица6[[#This Row],[Yi]]</f>
        <v>73.12</v>
      </c>
    </row>
    <row r="90" spans="1:23" x14ac:dyDescent="0.25">
      <c r="A90" t="s">
        <v>168</v>
      </c>
      <c r="B90" t="s">
        <v>169</v>
      </c>
      <c r="C90" t="s">
        <v>15</v>
      </c>
      <c r="D90" t="s">
        <v>10</v>
      </c>
      <c r="E90" t="s">
        <v>151</v>
      </c>
      <c r="F90" t="s">
        <v>152</v>
      </c>
      <c r="G90">
        <v>2</v>
      </c>
      <c r="J90">
        <v>24.71</v>
      </c>
      <c r="K90">
        <v>5.85</v>
      </c>
      <c r="M90" s="1">
        <v>24.71</v>
      </c>
      <c r="N90">
        <f t="shared" si="4"/>
        <v>4.9240573770491771</v>
      </c>
      <c r="O90">
        <f t="shared" si="5"/>
        <v>24.24634105247242</v>
      </c>
      <c r="P90">
        <f>Таблица5[[#This Row],[Xi]]^2</f>
        <v>610.58410000000003</v>
      </c>
      <c r="R90" s="3">
        <v>5.85</v>
      </c>
      <c r="S90">
        <f t="shared" si="6"/>
        <v>2.8517213114754094</v>
      </c>
      <c r="T90">
        <f t="shared" si="7"/>
        <v>8.1323144383230286</v>
      </c>
      <c r="U90">
        <f>Таблица6[[#This Row],[Yi]]^2</f>
        <v>34.222499999999997</v>
      </c>
      <c r="W90">
        <f>Таблица5[[#This Row],[Xi]]*Таблица6[[#This Row],[Yi]]</f>
        <v>144.55349999999999</v>
      </c>
    </row>
    <row r="91" spans="1:23" x14ac:dyDescent="0.25">
      <c r="A91" t="s">
        <v>170</v>
      </c>
      <c r="B91" t="s">
        <v>39</v>
      </c>
      <c r="C91" t="s">
        <v>15</v>
      </c>
      <c r="D91" t="s">
        <v>10</v>
      </c>
      <c r="E91" t="s">
        <v>151</v>
      </c>
      <c r="F91" t="s">
        <v>152</v>
      </c>
      <c r="G91">
        <v>2</v>
      </c>
      <c r="J91">
        <v>21.16</v>
      </c>
      <c r="K91">
        <v>3</v>
      </c>
      <c r="M91" s="2">
        <v>21.16</v>
      </c>
      <c r="N91">
        <f t="shared" si="4"/>
        <v>1.3740573770491764</v>
      </c>
      <c r="O91">
        <f t="shared" si="5"/>
        <v>1.8880336754232625</v>
      </c>
      <c r="P91">
        <f>Таблица5[[#This Row],[Xi]]^2</f>
        <v>447.74560000000002</v>
      </c>
      <c r="R91" s="4">
        <v>3</v>
      </c>
      <c r="S91">
        <f t="shared" si="6"/>
        <v>1.7213114754097703E-3</v>
      </c>
      <c r="T91">
        <f t="shared" si="7"/>
        <v>2.9629131953773601E-6</v>
      </c>
      <c r="U91">
        <f>Таблица6[[#This Row],[Yi]]^2</f>
        <v>9</v>
      </c>
      <c r="W91">
        <f>Таблица5[[#This Row],[Xi]]*Таблица6[[#This Row],[Yi]]</f>
        <v>63.480000000000004</v>
      </c>
    </row>
    <row r="92" spans="1:23" x14ac:dyDescent="0.25">
      <c r="A92" t="s">
        <v>171</v>
      </c>
      <c r="B92" t="s">
        <v>39</v>
      </c>
      <c r="C92" t="s">
        <v>15</v>
      </c>
      <c r="D92" t="s">
        <v>115</v>
      </c>
      <c r="E92" t="s">
        <v>172</v>
      </c>
      <c r="F92" t="s">
        <v>12</v>
      </c>
      <c r="G92">
        <v>2</v>
      </c>
      <c r="J92">
        <v>28.97</v>
      </c>
      <c r="K92">
        <v>3</v>
      </c>
      <c r="M92" s="1">
        <v>28.97</v>
      </c>
      <c r="N92">
        <f t="shared" si="4"/>
        <v>9.1840573770491751</v>
      </c>
      <c r="O92">
        <f t="shared" si="5"/>
        <v>84.34690990493138</v>
      </c>
      <c r="P92">
        <f>Таблица5[[#This Row],[Xi]]^2</f>
        <v>839.26089999999988</v>
      </c>
      <c r="R92" s="3">
        <v>3</v>
      </c>
      <c r="S92">
        <f t="shared" si="6"/>
        <v>1.7213114754097703E-3</v>
      </c>
      <c r="T92">
        <f t="shared" si="7"/>
        <v>2.9629131953773601E-6</v>
      </c>
      <c r="U92">
        <f>Таблица6[[#This Row],[Yi]]^2</f>
        <v>9</v>
      </c>
      <c r="W92">
        <f>Таблица5[[#This Row],[Xi]]*Таблица6[[#This Row],[Yi]]</f>
        <v>86.91</v>
      </c>
    </row>
    <row r="93" spans="1:23" x14ac:dyDescent="0.25">
      <c r="A93" t="s">
        <v>173</v>
      </c>
      <c r="B93" t="s">
        <v>17</v>
      </c>
      <c r="C93" t="s">
        <v>15</v>
      </c>
      <c r="D93" t="s">
        <v>10</v>
      </c>
      <c r="E93" t="s">
        <v>172</v>
      </c>
      <c r="F93" t="s">
        <v>12</v>
      </c>
      <c r="G93">
        <v>2</v>
      </c>
      <c r="J93">
        <v>22.49</v>
      </c>
      <c r="K93">
        <v>3.5</v>
      </c>
      <c r="M93" s="2">
        <v>22.49</v>
      </c>
      <c r="N93">
        <f t="shared" si="4"/>
        <v>2.7040573770491747</v>
      </c>
      <c r="O93">
        <f t="shared" si="5"/>
        <v>7.3119262983740629</v>
      </c>
      <c r="P93">
        <f>Таблица5[[#This Row],[Xi]]^2</f>
        <v>505.80009999999993</v>
      </c>
      <c r="R93" s="4">
        <v>3.5</v>
      </c>
      <c r="S93">
        <f t="shared" si="6"/>
        <v>0.50172131147540977</v>
      </c>
      <c r="T93">
        <f t="shared" si="7"/>
        <v>0.25172427438860517</v>
      </c>
      <c r="U93">
        <f>Таблица6[[#This Row],[Yi]]^2</f>
        <v>12.25</v>
      </c>
      <c r="W93">
        <f>Таблица5[[#This Row],[Xi]]*Таблица6[[#This Row],[Yi]]</f>
        <v>78.714999999999989</v>
      </c>
    </row>
    <row r="94" spans="1:23" x14ac:dyDescent="0.25">
      <c r="A94" t="s">
        <v>174</v>
      </c>
      <c r="B94" t="s">
        <v>133</v>
      </c>
      <c r="C94" t="s">
        <v>9</v>
      </c>
      <c r="D94" t="s">
        <v>115</v>
      </c>
      <c r="E94" t="s">
        <v>172</v>
      </c>
      <c r="F94" t="s">
        <v>12</v>
      </c>
      <c r="G94">
        <v>2</v>
      </c>
      <c r="J94">
        <v>5.75</v>
      </c>
      <c r="K94">
        <v>1</v>
      </c>
      <c r="M94" s="1">
        <v>5.75</v>
      </c>
      <c r="N94">
        <f t="shared" si="4"/>
        <v>-14.035942622950824</v>
      </c>
      <c r="O94">
        <f t="shared" si="5"/>
        <v>197.00768531476766</v>
      </c>
      <c r="P94">
        <f>Таблица5[[#This Row],[Xi]]^2</f>
        <v>33.0625</v>
      </c>
      <c r="R94" s="3">
        <v>1</v>
      </c>
      <c r="S94">
        <f t="shared" si="6"/>
        <v>-1.9982786885245902</v>
      </c>
      <c r="T94">
        <f t="shared" si="7"/>
        <v>3.9931177170115562</v>
      </c>
      <c r="U94">
        <f>Таблица6[[#This Row],[Yi]]^2</f>
        <v>1</v>
      </c>
      <c r="W94">
        <f>Таблица5[[#This Row],[Xi]]*Таблица6[[#This Row],[Yi]]</f>
        <v>5.75</v>
      </c>
    </row>
    <row r="95" spans="1:23" x14ac:dyDescent="0.25">
      <c r="A95" t="s">
        <v>175</v>
      </c>
      <c r="B95" t="s">
        <v>67</v>
      </c>
      <c r="C95" t="s">
        <v>9</v>
      </c>
      <c r="D95" t="s">
        <v>115</v>
      </c>
      <c r="E95" t="s">
        <v>172</v>
      </c>
      <c r="F95" t="s">
        <v>12</v>
      </c>
      <c r="G95">
        <v>2</v>
      </c>
      <c r="J95">
        <v>16.32</v>
      </c>
      <c r="K95">
        <v>4.3</v>
      </c>
      <c r="M95" s="2">
        <v>16.32</v>
      </c>
      <c r="N95">
        <f t="shared" si="4"/>
        <v>-3.4659426229508234</v>
      </c>
      <c r="O95">
        <f t="shared" si="5"/>
        <v>12.012758265587234</v>
      </c>
      <c r="P95">
        <f>Таблица5[[#This Row],[Xi]]^2</f>
        <v>266.3424</v>
      </c>
      <c r="R95" s="4">
        <v>4.3</v>
      </c>
      <c r="S95">
        <f t="shared" si="6"/>
        <v>1.3017213114754096</v>
      </c>
      <c r="T95">
        <f t="shared" si="7"/>
        <v>1.6944783727492603</v>
      </c>
      <c r="U95">
        <f>Таблица6[[#This Row],[Yi]]^2</f>
        <v>18.489999999999998</v>
      </c>
      <c r="W95">
        <f>Таблица5[[#This Row],[Xi]]*Таблица6[[#This Row],[Yi]]</f>
        <v>70.176000000000002</v>
      </c>
    </row>
    <row r="96" spans="1:23" x14ac:dyDescent="0.25">
      <c r="A96" t="s">
        <v>176</v>
      </c>
      <c r="B96" t="s">
        <v>177</v>
      </c>
      <c r="C96" t="s">
        <v>9</v>
      </c>
      <c r="D96" t="s">
        <v>10</v>
      </c>
      <c r="E96" t="s">
        <v>172</v>
      </c>
      <c r="F96" t="s">
        <v>12</v>
      </c>
      <c r="G96">
        <v>2</v>
      </c>
      <c r="J96">
        <v>22.75</v>
      </c>
      <c r="K96">
        <v>3.25</v>
      </c>
      <c r="M96" s="1">
        <v>22.75</v>
      </c>
      <c r="N96">
        <f t="shared" si="4"/>
        <v>2.9640573770491763</v>
      </c>
      <c r="O96">
        <f t="shared" si="5"/>
        <v>8.7856361344396419</v>
      </c>
      <c r="P96">
        <f>Таблица5[[#This Row],[Xi]]^2</f>
        <v>517.5625</v>
      </c>
      <c r="R96" s="3">
        <v>3.25</v>
      </c>
      <c r="S96">
        <f t="shared" si="6"/>
        <v>0.25172131147540977</v>
      </c>
      <c r="T96">
        <f t="shared" si="7"/>
        <v>6.3363618650900261E-2</v>
      </c>
      <c r="U96">
        <f>Таблица6[[#This Row],[Yi]]^2</f>
        <v>10.5625</v>
      </c>
      <c r="W96">
        <f>Таблица5[[#This Row],[Xi]]*Таблица6[[#This Row],[Yi]]</f>
        <v>73.9375</v>
      </c>
    </row>
    <row r="97" spans="1:23" x14ac:dyDescent="0.25">
      <c r="A97" t="s">
        <v>178</v>
      </c>
      <c r="B97" t="s">
        <v>179</v>
      </c>
      <c r="C97" t="s">
        <v>15</v>
      </c>
      <c r="D97" t="s">
        <v>115</v>
      </c>
      <c r="E97" t="s">
        <v>172</v>
      </c>
      <c r="F97" t="s">
        <v>12</v>
      </c>
      <c r="G97">
        <v>4</v>
      </c>
      <c r="J97">
        <v>40.17</v>
      </c>
      <c r="K97">
        <v>4.7300000000000004</v>
      </c>
      <c r="M97" s="2">
        <v>40.17</v>
      </c>
      <c r="N97">
        <f t="shared" si="4"/>
        <v>20.384057377049178</v>
      </c>
      <c r="O97">
        <f t="shared" si="5"/>
        <v>415.50979515083299</v>
      </c>
      <c r="P97">
        <f>Таблица5[[#This Row],[Xi]]^2</f>
        <v>1613.6289000000002</v>
      </c>
      <c r="R97" s="4">
        <v>4.7300000000000004</v>
      </c>
      <c r="S97">
        <f t="shared" si="6"/>
        <v>1.7317213114754102</v>
      </c>
      <c r="T97">
        <f t="shared" si="7"/>
        <v>2.9988587006181149</v>
      </c>
      <c r="U97">
        <f>Таблица6[[#This Row],[Yi]]^2</f>
        <v>22.372900000000005</v>
      </c>
      <c r="W97">
        <f>Таблица5[[#This Row],[Xi]]*Таблица6[[#This Row],[Yi]]</f>
        <v>190.00410000000002</v>
      </c>
    </row>
    <row r="98" spans="1:23" x14ac:dyDescent="0.25">
      <c r="A98" t="s">
        <v>180</v>
      </c>
      <c r="B98" t="s">
        <v>150</v>
      </c>
      <c r="C98" t="s">
        <v>15</v>
      </c>
      <c r="D98" t="s">
        <v>115</v>
      </c>
      <c r="E98" t="s">
        <v>172</v>
      </c>
      <c r="F98" t="s">
        <v>12</v>
      </c>
      <c r="G98">
        <v>2</v>
      </c>
      <c r="J98">
        <v>27.28</v>
      </c>
      <c r="K98">
        <v>4</v>
      </c>
      <c r="M98" s="1">
        <v>27.28</v>
      </c>
      <c r="N98">
        <f t="shared" si="4"/>
        <v>7.4940573770491774</v>
      </c>
      <c r="O98">
        <f t="shared" si="5"/>
        <v>56.160895970505194</v>
      </c>
      <c r="P98">
        <f>Таблица5[[#This Row],[Xi]]^2</f>
        <v>744.19840000000011</v>
      </c>
      <c r="R98" s="3">
        <v>4</v>
      </c>
      <c r="S98">
        <f t="shared" si="6"/>
        <v>1.0017213114754098</v>
      </c>
      <c r="T98">
        <f t="shared" si="7"/>
        <v>1.003445585864015</v>
      </c>
      <c r="U98">
        <f>Таблица6[[#This Row],[Yi]]^2</f>
        <v>16</v>
      </c>
      <c r="W98">
        <f>Таблица5[[#This Row],[Xi]]*Таблица6[[#This Row],[Yi]]</f>
        <v>109.12</v>
      </c>
    </row>
    <row r="99" spans="1:23" x14ac:dyDescent="0.25">
      <c r="A99" t="s">
        <v>181</v>
      </c>
      <c r="B99" t="s">
        <v>117</v>
      </c>
      <c r="C99" t="s">
        <v>15</v>
      </c>
      <c r="D99" t="s">
        <v>115</v>
      </c>
      <c r="E99" t="s">
        <v>172</v>
      </c>
      <c r="F99" t="s">
        <v>12</v>
      </c>
      <c r="G99">
        <v>2</v>
      </c>
      <c r="J99">
        <v>12.03</v>
      </c>
      <c r="K99">
        <v>1.5</v>
      </c>
      <c r="M99" s="2">
        <v>12.03</v>
      </c>
      <c r="N99">
        <f t="shared" si="4"/>
        <v>-7.7559426229508244</v>
      </c>
      <c r="O99">
        <f t="shared" si="5"/>
        <v>60.154645970505314</v>
      </c>
      <c r="P99">
        <f>Таблица5[[#This Row],[Xi]]^2</f>
        <v>144.72089999999997</v>
      </c>
      <c r="R99" s="4">
        <v>1.5</v>
      </c>
      <c r="S99">
        <f t="shared" si="6"/>
        <v>-1.4982786885245902</v>
      </c>
      <c r="T99">
        <f t="shared" si="7"/>
        <v>2.2448390284869659</v>
      </c>
      <c r="U99">
        <f>Таблица6[[#This Row],[Yi]]^2</f>
        <v>2.25</v>
      </c>
      <c r="W99">
        <f>Таблица5[[#This Row],[Xi]]*Таблица6[[#This Row],[Yi]]</f>
        <v>18.044999999999998</v>
      </c>
    </row>
    <row r="100" spans="1:23" x14ac:dyDescent="0.25">
      <c r="A100" t="s">
        <v>16</v>
      </c>
      <c r="B100" t="s">
        <v>39</v>
      </c>
      <c r="C100" t="s">
        <v>15</v>
      </c>
      <c r="D100" t="s">
        <v>115</v>
      </c>
      <c r="E100" t="s">
        <v>172</v>
      </c>
      <c r="F100" t="s">
        <v>12</v>
      </c>
      <c r="G100">
        <v>2</v>
      </c>
      <c r="J100">
        <v>21.01</v>
      </c>
      <c r="K100">
        <v>3</v>
      </c>
      <c r="M100" s="1">
        <v>21.01</v>
      </c>
      <c r="N100">
        <f t="shared" si="4"/>
        <v>1.2240573770491778</v>
      </c>
      <c r="O100">
        <f t="shared" si="5"/>
        <v>1.498316462308513</v>
      </c>
      <c r="P100">
        <f>Таблица5[[#This Row],[Xi]]^2</f>
        <v>441.42010000000005</v>
      </c>
      <c r="R100" s="3">
        <v>3</v>
      </c>
      <c r="S100">
        <f t="shared" si="6"/>
        <v>1.7213114754097703E-3</v>
      </c>
      <c r="T100">
        <f t="shared" si="7"/>
        <v>2.9629131953773601E-6</v>
      </c>
      <c r="U100">
        <f>Таблица6[[#This Row],[Yi]]^2</f>
        <v>9</v>
      </c>
      <c r="W100">
        <f>Таблица5[[#This Row],[Xi]]*Таблица6[[#This Row],[Yi]]</f>
        <v>63.03</v>
      </c>
    </row>
    <row r="101" spans="1:23" x14ac:dyDescent="0.25">
      <c r="A101" t="s">
        <v>182</v>
      </c>
      <c r="B101" t="s">
        <v>117</v>
      </c>
      <c r="C101" t="s">
        <v>15</v>
      </c>
      <c r="D101" t="s">
        <v>10</v>
      </c>
      <c r="E101" t="s">
        <v>172</v>
      </c>
      <c r="F101" t="s">
        <v>12</v>
      </c>
      <c r="G101">
        <v>2</v>
      </c>
      <c r="J101">
        <v>12.46</v>
      </c>
      <c r="K101">
        <v>1.5</v>
      </c>
      <c r="M101" s="2">
        <v>12.46</v>
      </c>
      <c r="N101">
        <f t="shared" si="4"/>
        <v>-7.3259426229508229</v>
      </c>
      <c r="O101">
        <f t="shared" si="5"/>
        <v>53.669435314767583</v>
      </c>
      <c r="P101">
        <f>Таблица5[[#This Row],[Xi]]^2</f>
        <v>155.25160000000002</v>
      </c>
      <c r="R101" s="4">
        <v>1.5</v>
      </c>
      <c r="S101">
        <f t="shared" si="6"/>
        <v>-1.4982786885245902</v>
      </c>
      <c r="T101">
        <f t="shared" si="7"/>
        <v>2.2448390284869659</v>
      </c>
      <c r="U101">
        <f>Таблица6[[#This Row],[Yi]]^2</f>
        <v>2.25</v>
      </c>
      <c r="W101">
        <f>Таблица5[[#This Row],[Xi]]*Таблица6[[#This Row],[Yi]]</f>
        <v>18.690000000000001</v>
      </c>
    </row>
    <row r="102" spans="1:23" x14ac:dyDescent="0.25">
      <c r="A102" t="s">
        <v>183</v>
      </c>
      <c r="B102" t="s">
        <v>72</v>
      </c>
      <c r="C102" t="s">
        <v>9</v>
      </c>
      <c r="D102" t="s">
        <v>115</v>
      </c>
      <c r="E102" t="s">
        <v>172</v>
      </c>
      <c r="F102" t="s">
        <v>12</v>
      </c>
      <c r="G102">
        <v>2</v>
      </c>
      <c r="J102">
        <v>11.35</v>
      </c>
      <c r="K102">
        <v>2.5</v>
      </c>
      <c r="M102" s="1">
        <v>11.35</v>
      </c>
      <c r="N102">
        <f t="shared" si="4"/>
        <v>-8.4359426229508241</v>
      </c>
      <c r="O102">
        <f t="shared" si="5"/>
        <v>71.165127937718424</v>
      </c>
      <c r="P102">
        <f>Таблица5[[#This Row],[Xi]]^2</f>
        <v>128.82249999999999</v>
      </c>
      <c r="R102" s="3">
        <v>2.5</v>
      </c>
      <c r="S102">
        <f t="shared" si="6"/>
        <v>-0.49827868852459023</v>
      </c>
      <c r="T102">
        <f t="shared" si="7"/>
        <v>0.24828165143778561</v>
      </c>
      <c r="U102">
        <f>Таблица6[[#This Row],[Yi]]^2</f>
        <v>6.25</v>
      </c>
      <c r="W102">
        <f>Таблица5[[#This Row],[Xi]]*Таблица6[[#This Row],[Yi]]</f>
        <v>28.375</v>
      </c>
    </row>
    <row r="103" spans="1:23" x14ac:dyDescent="0.25">
      <c r="A103" t="s">
        <v>184</v>
      </c>
      <c r="B103" t="s">
        <v>39</v>
      </c>
      <c r="C103" t="s">
        <v>9</v>
      </c>
      <c r="D103" t="s">
        <v>115</v>
      </c>
      <c r="E103" t="s">
        <v>172</v>
      </c>
      <c r="F103" t="s">
        <v>12</v>
      </c>
      <c r="G103">
        <v>2</v>
      </c>
      <c r="J103">
        <v>15.38</v>
      </c>
      <c r="K103">
        <v>3</v>
      </c>
      <c r="M103" s="2">
        <v>15.38</v>
      </c>
      <c r="N103">
        <f t="shared" si="4"/>
        <v>-4.405942622950823</v>
      </c>
      <c r="O103">
        <f t="shared" si="5"/>
        <v>19.412330396734777</v>
      </c>
      <c r="P103">
        <f>Таблица5[[#This Row],[Xi]]^2</f>
        <v>236.54440000000002</v>
      </c>
      <c r="R103" s="4">
        <v>3</v>
      </c>
      <c r="S103">
        <f t="shared" si="6"/>
        <v>1.7213114754097703E-3</v>
      </c>
      <c r="T103">
        <f t="shared" si="7"/>
        <v>2.9629131953773601E-6</v>
      </c>
      <c r="U103">
        <f>Таблица6[[#This Row],[Yi]]^2</f>
        <v>9</v>
      </c>
      <c r="W103">
        <f>Таблица5[[#This Row],[Xi]]*Таблица6[[#This Row],[Yi]]</f>
        <v>46.14</v>
      </c>
    </row>
    <row r="104" spans="1:23" x14ac:dyDescent="0.25">
      <c r="A104" t="s">
        <v>185</v>
      </c>
      <c r="B104" t="s">
        <v>72</v>
      </c>
      <c r="C104" t="s">
        <v>9</v>
      </c>
      <c r="D104" t="s">
        <v>115</v>
      </c>
      <c r="E104" t="s">
        <v>51</v>
      </c>
      <c r="F104" t="s">
        <v>12</v>
      </c>
      <c r="G104">
        <v>3</v>
      </c>
      <c r="J104">
        <v>44.3</v>
      </c>
      <c r="K104">
        <v>2.5</v>
      </c>
      <c r="M104" s="1">
        <v>44.3</v>
      </c>
      <c r="N104">
        <f t="shared" si="4"/>
        <v>24.514057377049173</v>
      </c>
      <c r="O104">
        <f t="shared" si="5"/>
        <v>600.93900908525904</v>
      </c>
      <c r="P104">
        <f>Таблица5[[#This Row],[Xi]]^2</f>
        <v>1962.4899999999998</v>
      </c>
      <c r="R104" s="3">
        <v>2.5</v>
      </c>
      <c r="S104">
        <f t="shared" si="6"/>
        <v>-0.49827868852459023</v>
      </c>
      <c r="T104">
        <f t="shared" si="7"/>
        <v>0.24828165143778561</v>
      </c>
      <c r="U104">
        <f>Таблица6[[#This Row],[Yi]]^2</f>
        <v>6.25</v>
      </c>
      <c r="W104">
        <f>Таблица5[[#This Row],[Xi]]*Таблица6[[#This Row],[Yi]]</f>
        <v>110.75</v>
      </c>
    </row>
    <row r="105" spans="1:23" x14ac:dyDescent="0.25">
      <c r="A105" t="s">
        <v>186</v>
      </c>
      <c r="B105" t="s">
        <v>187</v>
      </c>
      <c r="C105" t="s">
        <v>9</v>
      </c>
      <c r="D105" t="s">
        <v>115</v>
      </c>
      <c r="E105" t="s">
        <v>51</v>
      </c>
      <c r="F105" t="s">
        <v>12</v>
      </c>
      <c r="G105">
        <v>2</v>
      </c>
      <c r="J105">
        <v>22.42</v>
      </c>
      <c r="K105">
        <v>3.48</v>
      </c>
      <c r="M105" s="2">
        <v>22.42</v>
      </c>
      <c r="N105">
        <f t="shared" si="4"/>
        <v>2.634057377049178</v>
      </c>
      <c r="O105">
        <f t="shared" si="5"/>
        <v>6.9382582655871952</v>
      </c>
      <c r="P105">
        <f>Таблица5[[#This Row],[Xi]]^2</f>
        <v>502.65640000000008</v>
      </c>
      <c r="R105" s="4">
        <v>3.48</v>
      </c>
      <c r="S105">
        <f t="shared" si="6"/>
        <v>0.48172131147540975</v>
      </c>
      <c r="T105">
        <f t="shared" si="7"/>
        <v>0.23205542192958875</v>
      </c>
      <c r="U105">
        <f>Таблица6[[#This Row],[Yi]]^2</f>
        <v>12.1104</v>
      </c>
      <c r="W105">
        <f>Таблица5[[#This Row],[Xi]]*Таблица6[[#This Row],[Yi]]</f>
        <v>78.021600000000007</v>
      </c>
    </row>
    <row r="106" spans="1:23" x14ac:dyDescent="0.25">
      <c r="A106" t="s">
        <v>188</v>
      </c>
      <c r="B106" t="s">
        <v>53</v>
      </c>
      <c r="C106" t="s">
        <v>9</v>
      </c>
      <c r="D106" t="s">
        <v>10</v>
      </c>
      <c r="E106" t="s">
        <v>51</v>
      </c>
      <c r="F106" t="s">
        <v>12</v>
      </c>
      <c r="G106">
        <v>2</v>
      </c>
      <c r="J106">
        <v>20.92</v>
      </c>
      <c r="K106">
        <v>4.08</v>
      </c>
      <c r="M106" s="1">
        <v>20.92</v>
      </c>
      <c r="N106">
        <f t="shared" si="4"/>
        <v>1.134057377049178</v>
      </c>
      <c r="O106">
        <f t="shared" si="5"/>
        <v>1.2860861344396615</v>
      </c>
      <c r="P106">
        <f>Таблица5[[#This Row],[Xi]]^2</f>
        <v>437.64640000000009</v>
      </c>
      <c r="R106" s="3">
        <v>4.08</v>
      </c>
      <c r="S106">
        <f t="shared" si="6"/>
        <v>1.0817213114754098</v>
      </c>
      <c r="T106">
        <f t="shared" si="7"/>
        <v>1.1701209957000807</v>
      </c>
      <c r="U106">
        <f>Таблица6[[#This Row],[Yi]]^2</f>
        <v>16.6464</v>
      </c>
      <c r="W106">
        <f>Таблица5[[#This Row],[Xi]]*Таблица6[[#This Row],[Yi]]</f>
        <v>85.353600000000014</v>
      </c>
    </row>
    <row r="107" spans="1:23" x14ac:dyDescent="0.25">
      <c r="A107" t="s">
        <v>189</v>
      </c>
      <c r="B107" t="s">
        <v>190</v>
      </c>
      <c r="C107" t="s">
        <v>15</v>
      </c>
      <c r="D107" t="s">
        <v>115</v>
      </c>
      <c r="E107" t="s">
        <v>51</v>
      </c>
      <c r="F107" t="s">
        <v>12</v>
      </c>
      <c r="G107">
        <v>2</v>
      </c>
      <c r="J107">
        <v>15.36</v>
      </c>
      <c r="K107">
        <v>1.64</v>
      </c>
      <c r="M107" s="2">
        <v>15.36</v>
      </c>
      <c r="N107">
        <f t="shared" si="4"/>
        <v>-4.4259426229508243</v>
      </c>
      <c r="O107">
        <f t="shared" si="5"/>
        <v>19.588968101652821</v>
      </c>
      <c r="P107">
        <f>Таблица5[[#This Row],[Xi]]^2</f>
        <v>235.92959999999999</v>
      </c>
      <c r="R107" s="4">
        <v>1.64</v>
      </c>
      <c r="S107">
        <f t="shared" si="6"/>
        <v>-1.3582786885245903</v>
      </c>
      <c r="T107">
        <f t="shared" si="7"/>
        <v>1.8449209957000812</v>
      </c>
      <c r="U107">
        <f>Таблица6[[#This Row],[Yi]]^2</f>
        <v>2.6895999999999995</v>
      </c>
      <c r="W107">
        <f>Таблица5[[#This Row],[Xi]]*Таблица6[[#This Row],[Yi]]</f>
        <v>25.190399999999997</v>
      </c>
    </row>
    <row r="108" spans="1:23" x14ac:dyDescent="0.25">
      <c r="A108" t="s">
        <v>191</v>
      </c>
      <c r="B108" t="s">
        <v>192</v>
      </c>
      <c r="C108" t="s">
        <v>15</v>
      </c>
      <c r="D108" t="s">
        <v>115</v>
      </c>
      <c r="E108" t="s">
        <v>51</v>
      </c>
      <c r="F108" t="s">
        <v>12</v>
      </c>
      <c r="G108">
        <v>2</v>
      </c>
      <c r="J108">
        <v>20.49</v>
      </c>
      <c r="K108">
        <v>4.0599999999999996</v>
      </c>
      <c r="M108" s="1">
        <v>20.49</v>
      </c>
      <c r="N108">
        <f t="shared" si="4"/>
        <v>0.7040573770491747</v>
      </c>
      <c r="O108">
        <f t="shared" si="5"/>
        <v>0.49569679017736373</v>
      </c>
      <c r="P108">
        <f>Таблица5[[#This Row],[Xi]]^2</f>
        <v>419.84009999999995</v>
      </c>
      <c r="R108" s="3">
        <v>4.0599999999999996</v>
      </c>
      <c r="S108">
        <f t="shared" si="6"/>
        <v>1.0617213114754094</v>
      </c>
      <c r="T108">
        <f t="shared" si="7"/>
        <v>1.1272521432410632</v>
      </c>
      <c r="U108">
        <f>Таблица6[[#This Row],[Yi]]^2</f>
        <v>16.483599999999996</v>
      </c>
      <c r="W108">
        <f>Таблица5[[#This Row],[Xi]]*Таблица6[[#This Row],[Yi]]</f>
        <v>83.189399999999992</v>
      </c>
    </row>
    <row r="109" spans="1:23" x14ac:dyDescent="0.25">
      <c r="A109" t="s">
        <v>193</v>
      </c>
      <c r="B109" t="s">
        <v>194</v>
      </c>
      <c r="C109" t="s">
        <v>15</v>
      </c>
      <c r="D109" t="s">
        <v>115</v>
      </c>
      <c r="E109" t="s">
        <v>51</v>
      </c>
      <c r="F109" t="s">
        <v>12</v>
      </c>
      <c r="G109">
        <v>2</v>
      </c>
      <c r="J109">
        <v>25.21</v>
      </c>
      <c r="K109">
        <v>4.29</v>
      </c>
      <c r="M109" s="2">
        <v>25.21</v>
      </c>
      <c r="N109">
        <f t="shared" si="4"/>
        <v>5.4240573770491771</v>
      </c>
      <c r="O109">
        <f t="shared" si="5"/>
        <v>29.420398429521597</v>
      </c>
      <c r="P109">
        <f>Таблица5[[#This Row],[Xi]]^2</f>
        <v>635.54410000000007</v>
      </c>
      <c r="R109" s="4">
        <v>4.29</v>
      </c>
      <c r="S109">
        <f t="shared" si="6"/>
        <v>1.2917213114754098</v>
      </c>
      <c r="T109">
        <f t="shared" si="7"/>
        <v>1.6685439465197527</v>
      </c>
      <c r="U109">
        <f>Таблица6[[#This Row],[Yi]]^2</f>
        <v>18.4041</v>
      </c>
      <c r="W109">
        <f>Таблица5[[#This Row],[Xi]]*Таблица6[[#This Row],[Yi]]</f>
        <v>108.15090000000001</v>
      </c>
    </row>
    <row r="110" spans="1:23" x14ac:dyDescent="0.25">
      <c r="A110" t="s">
        <v>195</v>
      </c>
      <c r="B110" t="s">
        <v>126</v>
      </c>
      <c r="C110" t="s">
        <v>15</v>
      </c>
      <c r="D110" t="s">
        <v>10</v>
      </c>
      <c r="E110" t="s">
        <v>51</v>
      </c>
      <c r="F110" t="s">
        <v>12</v>
      </c>
      <c r="G110">
        <v>2</v>
      </c>
      <c r="J110">
        <v>18.239999999999998</v>
      </c>
      <c r="K110">
        <v>3.76</v>
      </c>
      <c r="M110" s="1">
        <v>18.239999999999998</v>
      </c>
      <c r="N110">
        <f t="shared" si="4"/>
        <v>-1.5459426229508253</v>
      </c>
      <c r="O110">
        <f t="shared" si="5"/>
        <v>2.3899385934560775</v>
      </c>
      <c r="P110">
        <f>Таблица5[[#This Row],[Xi]]^2</f>
        <v>332.69759999999997</v>
      </c>
      <c r="R110" s="3">
        <v>3.76</v>
      </c>
      <c r="S110">
        <f t="shared" si="6"/>
        <v>0.76172131147540956</v>
      </c>
      <c r="T110">
        <f t="shared" si="7"/>
        <v>0.58021935635581789</v>
      </c>
      <c r="U110">
        <f>Таблица6[[#This Row],[Yi]]^2</f>
        <v>14.137599999999999</v>
      </c>
      <c r="W110">
        <f>Таблица5[[#This Row],[Xi]]*Таблица6[[#This Row],[Yi]]</f>
        <v>68.582399999999993</v>
      </c>
    </row>
    <row r="111" spans="1:23" x14ac:dyDescent="0.25">
      <c r="A111" t="s">
        <v>196</v>
      </c>
      <c r="B111" t="s">
        <v>150</v>
      </c>
      <c r="C111" t="s">
        <v>9</v>
      </c>
      <c r="D111" t="s">
        <v>115</v>
      </c>
      <c r="E111" t="s">
        <v>51</v>
      </c>
      <c r="F111" t="s">
        <v>12</v>
      </c>
      <c r="G111">
        <v>2</v>
      </c>
      <c r="J111">
        <v>14.31</v>
      </c>
      <c r="K111">
        <v>4</v>
      </c>
      <c r="M111" s="2">
        <v>14.31</v>
      </c>
      <c r="N111">
        <f t="shared" si="4"/>
        <v>-5.4759426229508232</v>
      </c>
      <c r="O111">
        <f t="shared" si="5"/>
        <v>29.985947609849543</v>
      </c>
      <c r="P111">
        <f>Таблица5[[#This Row],[Xi]]^2</f>
        <v>204.77610000000001</v>
      </c>
      <c r="R111" s="4">
        <v>4</v>
      </c>
      <c r="S111">
        <f t="shared" si="6"/>
        <v>1.0017213114754098</v>
      </c>
      <c r="T111">
        <f t="shared" si="7"/>
        <v>1.003445585864015</v>
      </c>
      <c r="U111">
        <f>Таблица6[[#This Row],[Yi]]^2</f>
        <v>16</v>
      </c>
      <c r="W111">
        <f>Таблица5[[#This Row],[Xi]]*Таблица6[[#This Row],[Yi]]</f>
        <v>57.24</v>
      </c>
    </row>
    <row r="112" spans="1:23" x14ac:dyDescent="0.25">
      <c r="A112" t="s">
        <v>197</v>
      </c>
      <c r="B112" t="s">
        <v>39</v>
      </c>
      <c r="C112" t="s">
        <v>15</v>
      </c>
      <c r="D112" t="s">
        <v>10</v>
      </c>
      <c r="E112" t="s">
        <v>51</v>
      </c>
      <c r="F112" t="s">
        <v>12</v>
      </c>
      <c r="G112">
        <v>2</v>
      </c>
      <c r="J112">
        <v>14</v>
      </c>
      <c r="K112">
        <v>3</v>
      </c>
      <c r="M112" s="1">
        <v>14</v>
      </c>
      <c r="N112">
        <f t="shared" si="4"/>
        <v>-5.7859426229508237</v>
      </c>
      <c r="O112">
        <f t="shared" si="5"/>
        <v>33.477132036079055</v>
      </c>
      <c r="P112">
        <f>Таблица5[[#This Row],[Xi]]^2</f>
        <v>196</v>
      </c>
      <c r="R112" s="3">
        <v>3</v>
      </c>
      <c r="S112">
        <f t="shared" si="6"/>
        <v>1.7213114754097703E-3</v>
      </c>
      <c r="T112">
        <f t="shared" si="7"/>
        <v>2.9629131953773601E-6</v>
      </c>
      <c r="U112">
        <f>Таблица6[[#This Row],[Yi]]^2</f>
        <v>9</v>
      </c>
      <c r="W112">
        <f>Таблица5[[#This Row],[Xi]]*Таблица6[[#This Row],[Yi]]</f>
        <v>42</v>
      </c>
    </row>
    <row r="113" spans="1:23" x14ac:dyDescent="0.25">
      <c r="A113" t="s">
        <v>198</v>
      </c>
      <c r="B113" t="s">
        <v>133</v>
      </c>
      <c r="C113" t="s">
        <v>9</v>
      </c>
      <c r="D113" t="s">
        <v>10</v>
      </c>
      <c r="E113" t="s">
        <v>51</v>
      </c>
      <c r="F113" t="s">
        <v>12</v>
      </c>
      <c r="G113">
        <v>1</v>
      </c>
      <c r="J113">
        <v>7.25</v>
      </c>
      <c r="K113">
        <v>1</v>
      </c>
      <c r="M113" s="2">
        <v>7.25</v>
      </c>
      <c r="N113">
        <f t="shared" si="4"/>
        <v>-12.535942622950824</v>
      </c>
      <c r="O113">
        <f t="shared" si="5"/>
        <v>157.14985744591519</v>
      </c>
      <c r="P113">
        <f>Таблица5[[#This Row],[Xi]]^2</f>
        <v>52.5625</v>
      </c>
      <c r="R113" s="4">
        <v>1</v>
      </c>
      <c r="S113">
        <f t="shared" si="6"/>
        <v>-1.9982786885245902</v>
      </c>
      <c r="T113">
        <f t="shared" si="7"/>
        <v>3.9931177170115562</v>
      </c>
      <c r="U113">
        <f>Таблица6[[#This Row],[Yi]]^2</f>
        <v>1</v>
      </c>
      <c r="W113">
        <f>Таблица5[[#This Row],[Xi]]*Таблица6[[#This Row],[Yi]]</f>
        <v>7.25</v>
      </c>
    </row>
    <row r="114" spans="1:23" x14ac:dyDescent="0.25">
      <c r="A114" t="s">
        <v>199</v>
      </c>
      <c r="B114" t="s">
        <v>150</v>
      </c>
      <c r="C114" t="s">
        <v>15</v>
      </c>
      <c r="D114" t="s">
        <v>10</v>
      </c>
      <c r="E114" t="s">
        <v>11</v>
      </c>
      <c r="F114" t="s">
        <v>12</v>
      </c>
      <c r="G114">
        <v>3</v>
      </c>
      <c r="J114">
        <v>38.07</v>
      </c>
      <c r="K114">
        <v>4</v>
      </c>
      <c r="M114" s="1">
        <v>38.07</v>
      </c>
      <c r="N114">
        <f t="shared" si="4"/>
        <v>18.284057377049177</v>
      </c>
      <c r="O114">
        <f t="shared" si="5"/>
        <v>334.30675416722642</v>
      </c>
      <c r="P114">
        <f>Таблица5[[#This Row],[Xi]]^2</f>
        <v>1449.3249000000001</v>
      </c>
      <c r="R114" s="3">
        <v>4</v>
      </c>
      <c r="S114">
        <f t="shared" si="6"/>
        <v>1.0017213114754098</v>
      </c>
      <c r="T114">
        <f t="shared" si="7"/>
        <v>1.003445585864015</v>
      </c>
      <c r="U114">
        <f>Таблица6[[#This Row],[Yi]]^2</f>
        <v>16</v>
      </c>
      <c r="W114">
        <f>Таблица5[[#This Row],[Xi]]*Таблица6[[#This Row],[Yi]]</f>
        <v>152.28</v>
      </c>
    </row>
    <row r="115" spans="1:23" x14ac:dyDescent="0.25">
      <c r="A115" t="s">
        <v>200</v>
      </c>
      <c r="B115" t="s">
        <v>201</v>
      </c>
      <c r="C115" t="s">
        <v>15</v>
      </c>
      <c r="D115" t="s">
        <v>10</v>
      </c>
      <c r="E115" t="s">
        <v>11</v>
      </c>
      <c r="F115" t="s">
        <v>12</v>
      </c>
      <c r="G115">
        <v>2</v>
      </c>
      <c r="J115">
        <v>23.95</v>
      </c>
      <c r="K115">
        <v>2.5499999999999998</v>
      </c>
      <c r="M115" s="2">
        <v>23.95</v>
      </c>
      <c r="N115">
        <f t="shared" si="4"/>
        <v>4.1640573770491756</v>
      </c>
      <c r="O115">
        <f t="shared" si="5"/>
        <v>17.339373839357659</v>
      </c>
      <c r="P115">
        <f>Таблица5[[#This Row],[Xi]]^2</f>
        <v>573.60249999999996</v>
      </c>
      <c r="R115" s="4">
        <v>2.5499999999999998</v>
      </c>
      <c r="S115">
        <f t="shared" si="6"/>
        <v>-0.44827868852459041</v>
      </c>
      <c r="T115">
        <f t="shared" si="7"/>
        <v>0.20095378258532676</v>
      </c>
      <c r="U115">
        <f>Таблица6[[#This Row],[Yi]]^2</f>
        <v>6.5024999999999995</v>
      </c>
      <c r="W115">
        <f>Таблица5[[#This Row],[Xi]]*Таблица6[[#This Row],[Yi]]</f>
        <v>61.072499999999991</v>
      </c>
    </row>
    <row r="116" spans="1:23" x14ac:dyDescent="0.25">
      <c r="A116" t="s">
        <v>202</v>
      </c>
      <c r="B116" t="s">
        <v>150</v>
      </c>
      <c r="C116" t="s">
        <v>9</v>
      </c>
      <c r="D116" t="s">
        <v>10</v>
      </c>
      <c r="E116" t="s">
        <v>11</v>
      </c>
      <c r="F116" t="s">
        <v>12</v>
      </c>
      <c r="G116">
        <v>3</v>
      </c>
      <c r="J116">
        <v>25.71</v>
      </c>
      <c r="K116">
        <v>4</v>
      </c>
      <c r="M116" s="1">
        <v>25.71</v>
      </c>
      <c r="N116">
        <f t="shared" si="4"/>
        <v>5.9240573770491771</v>
      </c>
      <c r="O116">
        <f t="shared" si="5"/>
        <v>35.094455806570778</v>
      </c>
      <c r="P116">
        <f>Таблица5[[#This Row],[Xi]]^2</f>
        <v>661.00409999999999</v>
      </c>
      <c r="R116" s="3">
        <v>4</v>
      </c>
      <c r="S116">
        <f t="shared" si="6"/>
        <v>1.0017213114754098</v>
      </c>
      <c r="T116">
        <f t="shared" si="7"/>
        <v>1.003445585864015</v>
      </c>
      <c r="U116">
        <f>Таблица6[[#This Row],[Yi]]^2</f>
        <v>16</v>
      </c>
      <c r="W116">
        <f>Таблица5[[#This Row],[Xi]]*Таблица6[[#This Row],[Yi]]</f>
        <v>102.84</v>
      </c>
    </row>
    <row r="117" spans="1:23" x14ac:dyDescent="0.25">
      <c r="A117" t="s">
        <v>203</v>
      </c>
      <c r="B117" t="s">
        <v>17</v>
      </c>
      <c r="C117" t="s">
        <v>9</v>
      </c>
      <c r="D117" t="s">
        <v>10</v>
      </c>
      <c r="E117" t="s">
        <v>11</v>
      </c>
      <c r="F117" t="s">
        <v>12</v>
      </c>
      <c r="G117">
        <v>2</v>
      </c>
      <c r="J117">
        <v>17.309999999999999</v>
      </c>
      <c r="K117">
        <v>3.5</v>
      </c>
      <c r="M117" s="2">
        <v>17.309999999999999</v>
      </c>
      <c r="N117">
        <f t="shared" si="4"/>
        <v>-2.475942622950825</v>
      </c>
      <c r="O117">
        <f t="shared" si="5"/>
        <v>6.1302918721446114</v>
      </c>
      <c r="P117">
        <f>Таблица5[[#This Row],[Xi]]^2</f>
        <v>299.63609999999994</v>
      </c>
      <c r="R117" s="4">
        <v>3.5</v>
      </c>
      <c r="S117">
        <f t="shared" si="6"/>
        <v>0.50172131147540977</v>
      </c>
      <c r="T117">
        <f t="shared" si="7"/>
        <v>0.25172427438860517</v>
      </c>
      <c r="U117">
        <f>Таблица6[[#This Row],[Yi]]^2</f>
        <v>12.25</v>
      </c>
      <c r="W117">
        <f>Таблица5[[#This Row],[Xi]]*Таблица6[[#This Row],[Yi]]</f>
        <v>60.584999999999994</v>
      </c>
    </row>
    <row r="118" spans="1:23" x14ac:dyDescent="0.25">
      <c r="A118" t="s">
        <v>204</v>
      </c>
      <c r="B118" t="s">
        <v>205</v>
      </c>
      <c r="C118" t="s">
        <v>15</v>
      </c>
      <c r="D118" t="s">
        <v>10</v>
      </c>
      <c r="E118" t="s">
        <v>11</v>
      </c>
      <c r="F118" t="s">
        <v>12</v>
      </c>
      <c r="G118">
        <v>4</v>
      </c>
      <c r="J118">
        <v>29.93</v>
      </c>
      <c r="K118">
        <v>5.07</v>
      </c>
      <c r="M118" s="1">
        <v>29.93</v>
      </c>
      <c r="N118">
        <f t="shared" si="4"/>
        <v>10.144057377049176</v>
      </c>
      <c r="O118">
        <f t="shared" si="5"/>
        <v>102.90190006886581</v>
      </c>
      <c r="P118">
        <f>Таблица5[[#This Row],[Xi]]^2</f>
        <v>895.80489999999998</v>
      </c>
      <c r="R118" s="3">
        <v>5.07</v>
      </c>
      <c r="S118">
        <f t="shared" si="6"/>
        <v>2.0717213114754101</v>
      </c>
      <c r="T118">
        <f t="shared" si="7"/>
        <v>4.2920291924213929</v>
      </c>
      <c r="U118">
        <f>Таблица6[[#This Row],[Yi]]^2</f>
        <v>25.704900000000002</v>
      </c>
      <c r="W118">
        <f>Таблица5[[#This Row],[Xi]]*Таблица6[[#This Row],[Yi]]</f>
        <v>151.74510000000001</v>
      </c>
    </row>
    <row r="119" spans="1:23" x14ac:dyDescent="0.25">
      <c r="A119" t="s">
        <v>206</v>
      </c>
      <c r="B119" t="s">
        <v>117</v>
      </c>
      <c r="C119" t="s">
        <v>9</v>
      </c>
      <c r="D119" t="s">
        <v>10</v>
      </c>
      <c r="E119" t="s">
        <v>151</v>
      </c>
      <c r="F119" t="s">
        <v>152</v>
      </c>
      <c r="G119">
        <v>2</v>
      </c>
      <c r="J119">
        <v>10.65</v>
      </c>
      <c r="K119">
        <v>1.5</v>
      </c>
      <c r="M119" s="2">
        <v>10.65</v>
      </c>
      <c r="N119">
        <f t="shared" si="4"/>
        <v>-9.1359426229508234</v>
      </c>
      <c r="O119">
        <f t="shared" si="5"/>
        <v>83.465447609849576</v>
      </c>
      <c r="P119">
        <f>Таблица5[[#This Row],[Xi]]^2</f>
        <v>113.42250000000001</v>
      </c>
      <c r="R119" s="4">
        <v>1.5</v>
      </c>
      <c r="S119">
        <f t="shared" si="6"/>
        <v>-1.4982786885245902</v>
      </c>
      <c r="T119">
        <f t="shared" si="7"/>
        <v>2.2448390284869659</v>
      </c>
      <c r="U119">
        <f>Таблица6[[#This Row],[Yi]]^2</f>
        <v>2.25</v>
      </c>
      <c r="W119">
        <f>Таблица5[[#This Row],[Xi]]*Таблица6[[#This Row],[Yi]]</f>
        <v>15.975000000000001</v>
      </c>
    </row>
    <row r="120" spans="1:23" x14ac:dyDescent="0.25">
      <c r="A120" t="s">
        <v>207</v>
      </c>
      <c r="B120" t="s">
        <v>208</v>
      </c>
      <c r="C120" t="s">
        <v>9</v>
      </c>
      <c r="D120" t="s">
        <v>10</v>
      </c>
      <c r="E120" t="s">
        <v>151</v>
      </c>
      <c r="F120" t="s">
        <v>152</v>
      </c>
      <c r="G120">
        <v>2</v>
      </c>
      <c r="J120">
        <v>12.43</v>
      </c>
      <c r="K120">
        <v>1.8</v>
      </c>
      <c r="M120" s="1">
        <v>12.43</v>
      </c>
      <c r="N120">
        <f t="shared" si="4"/>
        <v>-7.355942622950824</v>
      </c>
      <c r="O120">
        <f t="shared" si="5"/>
        <v>54.109891872144651</v>
      </c>
      <c r="P120">
        <f>Таблица5[[#This Row],[Xi]]^2</f>
        <v>154.50489999999999</v>
      </c>
      <c r="R120" s="3">
        <v>1.8</v>
      </c>
      <c r="S120">
        <f t="shared" si="6"/>
        <v>-1.1982786885245902</v>
      </c>
      <c r="T120">
        <f t="shared" si="7"/>
        <v>1.4358718153722119</v>
      </c>
      <c r="U120">
        <f>Таблица6[[#This Row],[Yi]]^2</f>
        <v>3.24</v>
      </c>
      <c r="W120">
        <f>Таблица5[[#This Row],[Xi]]*Таблица6[[#This Row],[Yi]]</f>
        <v>22.373999999999999</v>
      </c>
    </row>
    <row r="121" spans="1:23" x14ac:dyDescent="0.25">
      <c r="A121" t="s">
        <v>209</v>
      </c>
      <c r="B121" t="s">
        <v>210</v>
      </c>
      <c r="C121" t="s">
        <v>9</v>
      </c>
      <c r="D121" t="s">
        <v>10</v>
      </c>
      <c r="E121" t="s">
        <v>151</v>
      </c>
      <c r="F121" t="s">
        <v>152</v>
      </c>
      <c r="G121">
        <v>4</v>
      </c>
      <c r="J121">
        <v>24.08</v>
      </c>
      <c r="K121">
        <v>2.92</v>
      </c>
      <c r="M121" s="2">
        <v>24.08</v>
      </c>
      <c r="N121">
        <f t="shared" si="4"/>
        <v>4.2940573770491746</v>
      </c>
      <c r="O121">
        <f t="shared" si="5"/>
        <v>18.438928757390435</v>
      </c>
      <c r="P121">
        <f>Таблица5[[#This Row],[Xi]]^2</f>
        <v>579.8463999999999</v>
      </c>
      <c r="R121" s="4">
        <v>2.92</v>
      </c>
      <c r="S121">
        <f t="shared" si="6"/>
        <v>-7.8278688524590301E-2</v>
      </c>
      <c r="T121">
        <f t="shared" si="7"/>
        <v>6.1275530771298251E-3</v>
      </c>
      <c r="U121">
        <f>Таблица6[[#This Row],[Yi]]^2</f>
        <v>8.5263999999999989</v>
      </c>
      <c r="W121">
        <f>Таблица5[[#This Row],[Xi]]*Таблица6[[#This Row],[Yi]]</f>
        <v>70.313599999999994</v>
      </c>
    </row>
    <row r="122" spans="1:23" x14ac:dyDescent="0.25">
      <c r="A122" t="s">
        <v>211</v>
      </c>
      <c r="B122" t="s">
        <v>84</v>
      </c>
      <c r="C122" t="s">
        <v>15</v>
      </c>
      <c r="D122" t="s">
        <v>10</v>
      </c>
      <c r="E122" t="s">
        <v>151</v>
      </c>
      <c r="F122" t="s">
        <v>152</v>
      </c>
      <c r="G122">
        <v>2</v>
      </c>
      <c r="J122">
        <v>11.69</v>
      </c>
      <c r="K122">
        <v>2.31</v>
      </c>
      <c r="M122" s="1">
        <v>11.69</v>
      </c>
      <c r="N122">
        <f t="shared" si="4"/>
        <v>-8.0959426229508242</v>
      </c>
      <c r="O122">
        <f t="shared" si="5"/>
        <v>65.544286954111868</v>
      </c>
      <c r="P122">
        <f>Таблица5[[#This Row],[Xi]]^2</f>
        <v>136.65609999999998</v>
      </c>
      <c r="R122" s="3">
        <v>2.31</v>
      </c>
      <c r="S122">
        <f t="shared" si="6"/>
        <v>-0.68827868852459018</v>
      </c>
      <c r="T122">
        <f t="shared" si="7"/>
        <v>0.47372755307712983</v>
      </c>
      <c r="U122">
        <f>Таблица6[[#This Row],[Yi]]^2</f>
        <v>5.3361000000000001</v>
      </c>
      <c r="W122">
        <f>Таблица5[[#This Row],[Xi]]*Таблица6[[#This Row],[Yi]]</f>
        <v>27.003899999999998</v>
      </c>
    </row>
    <row r="123" spans="1:23" x14ac:dyDescent="0.25">
      <c r="A123" t="s">
        <v>212</v>
      </c>
      <c r="B123" t="s">
        <v>213</v>
      </c>
      <c r="C123" t="s">
        <v>9</v>
      </c>
      <c r="D123" t="s">
        <v>10</v>
      </c>
      <c r="E123" t="s">
        <v>151</v>
      </c>
      <c r="F123" t="s">
        <v>152</v>
      </c>
      <c r="G123">
        <v>2</v>
      </c>
      <c r="J123">
        <v>13.42</v>
      </c>
      <c r="K123">
        <v>1.68</v>
      </c>
      <c r="M123" s="2">
        <v>13.42</v>
      </c>
      <c r="N123">
        <f t="shared" si="4"/>
        <v>-6.3659426229508238</v>
      </c>
      <c r="O123">
        <f t="shared" si="5"/>
        <v>40.525225478702012</v>
      </c>
      <c r="P123">
        <f>Таблица5[[#This Row],[Xi]]^2</f>
        <v>180.09639999999999</v>
      </c>
      <c r="R123" s="4">
        <v>1.68</v>
      </c>
      <c r="S123">
        <f t="shared" si="6"/>
        <v>-1.3182786885245903</v>
      </c>
      <c r="T123">
        <f t="shared" si="7"/>
        <v>1.7378587006181136</v>
      </c>
      <c r="U123">
        <f>Таблица6[[#This Row],[Yi]]^2</f>
        <v>2.8223999999999996</v>
      </c>
      <c r="W123">
        <f>Таблица5[[#This Row],[Xi]]*Таблица6[[#This Row],[Yi]]</f>
        <v>22.5456</v>
      </c>
    </row>
    <row r="124" spans="1:23" x14ac:dyDescent="0.25">
      <c r="A124" t="s">
        <v>214</v>
      </c>
      <c r="B124" t="s">
        <v>72</v>
      </c>
      <c r="C124" t="s">
        <v>15</v>
      </c>
      <c r="D124" t="s">
        <v>10</v>
      </c>
      <c r="E124" t="s">
        <v>151</v>
      </c>
      <c r="F124" t="s">
        <v>152</v>
      </c>
      <c r="G124">
        <v>2</v>
      </c>
      <c r="J124">
        <v>14.26</v>
      </c>
      <c r="K124">
        <v>2.5</v>
      </c>
      <c r="M124" s="1">
        <v>14.26</v>
      </c>
      <c r="N124">
        <f t="shared" si="4"/>
        <v>-5.5259426229508239</v>
      </c>
      <c r="O124">
        <f t="shared" si="5"/>
        <v>30.536041872144633</v>
      </c>
      <c r="P124">
        <f>Таблица5[[#This Row],[Xi]]^2</f>
        <v>203.3476</v>
      </c>
      <c r="R124" s="3">
        <v>2.5</v>
      </c>
      <c r="S124">
        <f t="shared" si="6"/>
        <v>-0.49827868852459023</v>
      </c>
      <c r="T124">
        <f t="shared" si="7"/>
        <v>0.24828165143778561</v>
      </c>
      <c r="U124">
        <f>Таблица6[[#This Row],[Yi]]^2</f>
        <v>6.25</v>
      </c>
      <c r="W124">
        <f>Таблица5[[#This Row],[Xi]]*Таблица6[[#This Row],[Yi]]</f>
        <v>35.65</v>
      </c>
    </row>
    <row r="125" spans="1:23" x14ac:dyDescent="0.25">
      <c r="A125" t="s">
        <v>215</v>
      </c>
      <c r="B125" t="s">
        <v>25</v>
      </c>
      <c r="C125" t="s">
        <v>15</v>
      </c>
      <c r="D125" t="s">
        <v>10</v>
      </c>
      <c r="E125" t="s">
        <v>151</v>
      </c>
      <c r="F125" t="s">
        <v>152</v>
      </c>
      <c r="G125">
        <v>2</v>
      </c>
      <c r="J125">
        <v>15.95</v>
      </c>
      <c r="K125">
        <v>2</v>
      </c>
      <c r="M125" s="2">
        <v>15.95</v>
      </c>
      <c r="N125">
        <f t="shared" si="4"/>
        <v>-3.8359426229508244</v>
      </c>
      <c r="O125">
        <f t="shared" si="5"/>
        <v>14.71445580657085</v>
      </c>
      <c r="P125">
        <f>Таблица5[[#This Row],[Xi]]^2</f>
        <v>254.40249999999997</v>
      </c>
      <c r="R125" s="4">
        <v>2</v>
      </c>
      <c r="S125">
        <f t="shared" si="6"/>
        <v>-0.99827868852459023</v>
      </c>
      <c r="T125">
        <f t="shared" si="7"/>
        <v>0.99656033996237581</v>
      </c>
      <c r="U125">
        <f>Таблица6[[#This Row],[Yi]]^2</f>
        <v>4</v>
      </c>
      <c r="W125">
        <f>Таблица5[[#This Row],[Xi]]*Таблица6[[#This Row],[Yi]]</f>
        <v>31.9</v>
      </c>
    </row>
    <row r="126" spans="1:23" x14ac:dyDescent="0.25">
      <c r="A126" t="s">
        <v>216</v>
      </c>
      <c r="B126" t="s">
        <v>217</v>
      </c>
      <c r="C126" t="s">
        <v>9</v>
      </c>
      <c r="D126" t="s">
        <v>10</v>
      </c>
      <c r="E126" t="s">
        <v>151</v>
      </c>
      <c r="F126" t="s">
        <v>152</v>
      </c>
      <c r="G126">
        <v>2</v>
      </c>
      <c r="J126">
        <v>12.48</v>
      </c>
      <c r="K126">
        <v>2.52</v>
      </c>
      <c r="M126" s="1">
        <v>12.48</v>
      </c>
      <c r="N126">
        <f t="shared" si="4"/>
        <v>-7.3059426229508233</v>
      </c>
      <c r="O126">
        <f t="shared" si="5"/>
        <v>53.376797609849554</v>
      </c>
      <c r="P126">
        <f>Таблица5[[#This Row],[Xi]]^2</f>
        <v>155.75040000000001</v>
      </c>
      <c r="R126" s="3">
        <v>2.52</v>
      </c>
      <c r="S126">
        <f t="shared" si="6"/>
        <v>-0.47827868852459021</v>
      </c>
      <c r="T126">
        <f t="shared" si="7"/>
        <v>0.22875050389680199</v>
      </c>
      <c r="U126">
        <f>Таблица6[[#This Row],[Yi]]^2</f>
        <v>6.3504000000000005</v>
      </c>
      <c r="W126">
        <f>Таблица5[[#This Row],[Xi]]*Таблица6[[#This Row],[Yi]]</f>
        <v>31.4496</v>
      </c>
    </row>
    <row r="127" spans="1:23" x14ac:dyDescent="0.25">
      <c r="A127" t="s">
        <v>218</v>
      </c>
      <c r="B127" t="s">
        <v>219</v>
      </c>
      <c r="C127" t="s">
        <v>9</v>
      </c>
      <c r="D127" t="s">
        <v>10</v>
      </c>
      <c r="E127" t="s">
        <v>151</v>
      </c>
      <c r="F127" t="s">
        <v>152</v>
      </c>
      <c r="G127">
        <v>6</v>
      </c>
      <c r="J127">
        <v>29.8</v>
      </c>
      <c r="K127">
        <v>4.2</v>
      </c>
      <c r="M127" s="2">
        <v>29.8</v>
      </c>
      <c r="N127">
        <f t="shared" si="4"/>
        <v>10.014057377049177</v>
      </c>
      <c r="O127">
        <f t="shared" si="5"/>
        <v>100.28134515083305</v>
      </c>
      <c r="P127">
        <f>Таблица5[[#This Row],[Xi]]^2</f>
        <v>888.04000000000008</v>
      </c>
      <c r="R127" s="4">
        <v>4.2</v>
      </c>
      <c r="S127">
        <f t="shared" si="6"/>
        <v>1.2017213114754099</v>
      </c>
      <c r="T127">
        <f t="shared" si="7"/>
        <v>1.4441341104541792</v>
      </c>
      <c r="U127">
        <f>Таблица6[[#This Row],[Yi]]^2</f>
        <v>17.64</v>
      </c>
      <c r="W127">
        <f>Таблица5[[#This Row],[Xi]]*Таблица6[[#This Row],[Yi]]</f>
        <v>125.16000000000001</v>
      </c>
    </row>
    <row r="128" spans="1:23" x14ac:dyDescent="0.25">
      <c r="A128" t="s">
        <v>220</v>
      </c>
      <c r="B128" t="s">
        <v>221</v>
      </c>
      <c r="C128" t="s">
        <v>15</v>
      </c>
      <c r="D128" t="s">
        <v>10</v>
      </c>
      <c r="E128" t="s">
        <v>151</v>
      </c>
      <c r="F128" t="s">
        <v>152</v>
      </c>
      <c r="G128">
        <v>2</v>
      </c>
      <c r="J128">
        <v>8.52</v>
      </c>
      <c r="K128">
        <v>1.48</v>
      </c>
      <c r="M128" s="1">
        <v>8.52</v>
      </c>
      <c r="N128">
        <f t="shared" si="4"/>
        <v>-11.265942622950824</v>
      </c>
      <c r="O128">
        <f t="shared" si="5"/>
        <v>126.92146318362009</v>
      </c>
      <c r="P128">
        <f>Таблица5[[#This Row],[Xi]]^2</f>
        <v>72.590399999999988</v>
      </c>
      <c r="R128" s="3">
        <v>1.48</v>
      </c>
      <c r="S128">
        <f t="shared" si="6"/>
        <v>-1.5182786885245902</v>
      </c>
      <c r="T128">
        <f t="shared" si="7"/>
        <v>2.3051701760279499</v>
      </c>
      <c r="U128">
        <f>Таблица6[[#This Row],[Yi]]^2</f>
        <v>2.1903999999999999</v>
      </c>
      <c r="W128">
        <f>Таблица5[[#This Row],[Xi]]*Таблица6[[#This Row],[Yi]]</f>
        <v>12.609599999999999</v>
      </c>
    </row>
    <row r="129" spans="1:23" x14ac:dyDescent="0.25">
      <c r="A129" t="s">
        <v>222</v>
      </c>
      <c r="B129" t="s">
        <v>25</v>
      </c>
      <c r="C129" t="s">
        <v>9</v>
      </c>
      <c r="D129" t="s">
        <v>10</v>
      </c>
      <c r="E129" t="s">
        <v>151</v>
      </c>
      <c r="F129" t="s">
        <v>152</v>
      </c>
      <c r="G129">
        <v>2</v>
      </c>
      <c r="J129">
        <v>14.52</v>
      </c>
      <c r="K129">
        <v>2</v>
      </c>
      <c r="M129" s="2">
        <v>14.52</v>
      </c>
      <c r="N129">
        <f t="shared" si="4"/>
        <v>-5.2659426229508242</v>
      </c>
      <c r="O129">
        <f t="shared" si="5"/>
        <v>27.730151708210204</v>
      </c>
      <c r="P129">
        <f>Таблица5[[#This Row],[Xi]]^2</f>
        <v>210.8304</v>
      </c>
      <c r="R129" s="4">
        <v>2</v>
      </c>
      <c r="S129">
        <f t="shared" si="6"/>
        <v>-0.99827868852459023</v>
      </c>
      <c r="T129">
        <f t="shared" si="7"/>
        <v>0.99656033996237581</v>
      </c>
      <c r="U129">
        <f>Таблица6[[#This Row],[Yi]]^2</f>
        <v>4</v>
      </c>
      <c r="W129">
        <f>Таблица5[[#This Row],[Xi]]*Таблица6[[#This Row],[Yi]]</f>
        <v>29.04</v>
      </c>
    </row>
    <row r="130" spans="1:23" x14ac:dyDescent="0.25">
      <c r="A130" t="s">
        <v>223</v>
      </c>
      <c r="B130" t="s">
        <v>25</v>
      </c>
      <c r="C130" t="s">
        <v>9</v>
      </c>
      <c r="D130" t="s">
        <v>10</v>
      </c>
      <c r="E130" t="s">
        <v>151</v>
      </c>
      <c r="F130" t="s">
        <v>152</v>
      </c>
      <c r="G130">
        <v>2</v>
      </c>
      <c r="J130">
        <v>11.38</v>
      </c>
      <c r="K130">
        <v>2</v>
      </c>
      <c r="M130" s="1">
        <v>11.38</v>
      </c>
      <c r="N130">
        <f t="shared" si="4"/>
        <v>-8.405942622950823</v>
      </c>
      <c r="O130">
        <f t="shared" si="5"/>
        <v>70.659871380341357</v>
      </c>
      <c r="P130">
        <f>Таблица5[[#This Row],[Xi]]^2</f>
        <v>129.5044</v>
      </c>
      <c r="R130" s="3">
        <v>2</v>
      </c>
      <c r="S130">
        <f t="shared" si="6"/>
        <v>-0.99827868852459023</v>
      </c>
      <c r="T130">
        <f t="shared" si="7"/>
        <v>0.99656033996237581</v>
      </c>
      <c r="U130">
        <f>Таблица6[[#This Row],[Yi]]^2</f>
        <v>4</v>
      </c>
      <c r="W130">
        <f>Таблица5[[#This Row],[Xi]]*Таблица6[[#This Row],[Yi]]</f>
        <v>22.76</v>
      </c>
    </row>
    <row r="131" spans="1:23" x14ac:dyDescent="0.25">
      <c r="A131" t="s">
        <v>224</v>
      </c>
      <c r="B131" t="s">
        <v>225</v>
      </c>
      <c r="C131" t="s">
        <v>15</v>
      </c>
      <c r="D131" t="s">
        <v>10</v>
      </c>
      <c r="E131" t="s">
        <v>151</v>
      </c>
      <c r="F131" t="s">
        <v>152</v>
      </c>
      <c r="G131">
        <v>3</v>
      </c>
      <c r="J131">
        <v>22.82</v>
      </c>
      <c r="K131">
        <v>2.1800000000000002</v>
      </c>
      <c r="M131" s="2">
        <v>22.82</v>
      </c>
      <c r="N131">
        <f t="shared" ref="N131:N194" si="8">M131-$J$247</f>
        <v>3.0340573770491766</v>
      </c>
      <c r="O131">
        <f t="shared" ref="O131:O194" si="9">N131^2</f>
        <v>9.205504167226529</v>
      </c>
      <c r="P131">
        <f>Таблица5[[#This Row],[Xi]]^2</f>
        <v>520.75239999999997</v>
      </c>
      <c r="R131" s="4">
        <v>2.1800000000000002</v>
      </c>
      <c r="S131">
        <f t="shared" ref="S131:S194" si="10">R131-$J$248</f>
        <v>-0.81827868852459007</v>
      </c>
      <c r="T131">
        <f t="shared" ref="T131:T194" si="11">S131^2</f>
        <v>0.66958001209352314</v>
      </c>
      <c r="U131">
        <f>Таблица6[[#This Row],[Yi]]^2</f>
        <v>4.7524000000000006</v>
      </c>
      <c r="W131">
        <f>Таблица5[[#This Row],[Xi]]*Таблица6[[#This Row],[Yi]]</f>
        <v>49.747600000000006</v>
      </c>
    </row>
    <row r="132" spans="1:23" x14ac:dyDescent="0.25">
      <c r="A132" t="s">
        <v>226</v>
      </c>
      <c r="B132" t="s">
        <v>117</v>
      </c>
      <c r="C132" t="s">
        <v>15</v>
      </c>
      <c r="D132" t="s">
        <v>10</v>
      </c>
      <c r="E132" t="s">
        <v>151</v>
      </c>
      <c r="F132" t="s">
        <v>152</v>
      </c>
      <c r="G132">
        <v>2</v>
      </c>
      <c r="J132">
        <v>19.079999999999998</v>
      </c>
      <c r="K132">
        <v>1.5</v>
      </c>
      <c r="M132" s="1">
        <v>19.079999999999998</v>
      </c>
      <c r="N132">
        <f t="shared" si="8"/>
        <v>-0.70594262295082544</v>
      </c>
      <c r="O132">
        <f t="shared" si="9"/>
        <v>0.49835498689869129</v>
      </c>
      <c r="P132">
        <f>Таблица5[[#This Row],[Xi]]^2</f>
        <v>364.04639999999995</v>
      </c>
      <c r="R132" s="3">
        <v>1.5</v>
      </c>
      <c r="S132">
        <f t="shared" si="10"/>
        <v>-1.4982786885245902</v>
      </c>
      <c r="T132">
        <f t="shared" si="11"/>
        <v>2.2448390284869659</v>
      </c>
      <c r="U132">
        <f>Таблица6[[#This Row],[Yi]]^2</f>
        <v>2.25</v>
      </c>
      <c r="W132">
        <f>Таблица5[[#This Row],[Xi]]*Таблица6[[#This Row],[Yi]]</f>
        <v>28.619999999999997</v>
      </c>
    </row>
    <row r="133" spans="1:23" x14ac:dyDescent="0.25">
      <c r="A133" t="s">
        <v>227</v>
      </c>
      <c r="B133" t="s">
        <v>228</v>
      </c>
      <c r="C133" t="s">
        <v>9</v>
      </c>
      <c r="D133" t="s">
        <v>10</v>
      </c>
      <c r="E133" t="s">
        <v>151</v>
      </c>
      <c r="F133" t="s">
        <v>152</v>
      </c>
      <c r="G133">
        <v>2</v>
      </c>
      <c r="J133">
        <v>20.27</v>
      </c>
      <c r="K133">
        <v>2.83</v>
      </c>
      <c r="M133" s="2">
        <v>20.27</v>
      </c>
      <c r="N133">
        <f t="shared" si="8"/>
        <v>0.48405737704917584</v>
      </c>
      <c r="O133">
        <f t="shared" si="9"/>
        <v>0.23431154427572798</v>
      </c>
      <c r="P133">
        <f>Таблица5[[#This Row],[Xi]]^2</f>
        <v>410.87289999999996</v>
      </c>
      <c r="R133" s="4">
        <v>2.83</v>
      </c>
      <c r="S133">
        <f t="shared" si="10"/>
        <v>-0.16827868852459016</v>
      </c>
      <c r="T133">
        <f t="shared" si="11"/>
        <v>2.8317717011556033E-2</v>
      </c>
      <c r="U133">
        <f>Таблица6[[#This Row],[Yi]]^2</f>
        <v>8.0089000000000006</v>
      </c>
      <c r="W133">
        <f>Таблица5[[#This Row],[Xi]]*Таблица6[[#This Row],[Yi]]</f>
        <v>57.364100000000001</v>
      </c>
    </row>
    <row r="134" spans="1:23" x14ac:dyDescent="0.25">
      <c r="A134" t="s">
        <v>229</v>
      </c>
      <c r="B134" t="s">
        <v>117</v>
      </c>
      <c r="C134" t="s">
        <v>9</v>
      </c>
      <c r="D134" t="s">
        <v>10</v>
      </c>
      <c r="E134" t="s">
        <v>151</v>
      </c>
      <c r="F134" t="s">
        <v>152</v>
      </c>
      <c r="G134">
        <v>2</v>
      </c>
      <c r="J134">
        <v>11.17</v>
      </c>
      <c r="K134">
        <v>1.5</v>
      </c>
      <c r="M134" s="1">
        <v>11.17</v>
      </c>
      <c r="N134">
        <f t="shared" si="8"/>
        <v>-8.6159426229508238</v>
      </c>
      <c r="O134">
        <f t="shared" si="9"/>
        <v>74.234467281980727</v>
      </c>
      <c r="P134">
        <f>Таблица5[[#This Row],[Xi]]^2</f>
        <v>124.7689</v>
      </c>
      <c r="R134" s="3">
        <v>1.5</v>
      </c>
      <c r="S134">
        <f t="shared" si="10"/>
        <v>-1.4982786885245902</v>
      </c>
      <c r="T134">
        <f t="shared" si="11"/>
        <v>2.2448390284869659</v>
      </c>
      <c r="U134">
        <f>Таблица6[[#This Row],[Yi]]^2</f>
        <v>2.25</v>
      </c>
      <c r="W134">
        <f>Таблица5[[#This Row],[Xi]]*Таблица6[[#This Row],[Yi]]</f>
        <v>16.754999999999999</v>
      </c>
    </row>
    <row r="135" spans="1:23" x14ac:dyDescent="0.25">
      <c r="A135" t="s">
        <v>230</v>
      </c>
      <c r="B135" t="s">
        <v>25</v>
      </c>
      <c r="C135" t="s">
        <v>9</v>
      </c>
      <c r="D135" t="s">
        <v>10</v>
      </c>
      <c r="E135" t="s">
        <v>151</v>
      </c>
      <c r="F135" t="s">
        <v>152</v>
      </c>
      <c r="G135">
        <v>2</v>
      </c>
      <c r="J135">
        <v>12.26</v>
      </c>
      <c r="K135">
        <v>2</v>
      </c>
      <c r="M135" s="2">
        <v>12.26</v>
      </c>
      <c r="N135">
        <f t="shared" si="8"/>
        <v>-7.5259426229508239</v>
      </c>
      <c r="O135">
        <f t="shared" si="9"/>
        <v>56.639812363947925</v>
      </c>
      <c r="P135">
        <f>Таблица5[[#This Row],[Xi]]^2</f>
        <v>150.30760000000001</v>
      </c>
      <c r="R135" s="4">
        <v>2</v>
      </c>
      <c r="S135">
        <f t="shared" si="10"/>
        <v>-0.99827868852459023</v>
      </c>
      <c r="T135">
        <f t="shared" si="11"/>
        <v>0.99656033996237581</v>
      </c>
      <c r="U135">
        <f>Таблица6[[#This Row],[Yi]]^2</f>
        <v>4</v>
      </c>
      <c r="W135">
        <f>Таблица5[[#This Row],[Xi]]*Таблица6[[#This Row],[Yi]]</f>
        <v>24.52</v>
      </c>
    </row>
    <row r="136" spans="1:23" x14ac:dyDescent="0.25">
      <c r="A136" t="s">
        <v>231</v>
      </c>
      <c r="B136" t="s">
        <v>177</v>
      </c>
      <c r="C136" t="s">
        <v>9</v>
      </c>
      <c r="D136" t="s">
        <v>10</v>
      </c>
      <c r="E136" t="s">
        <v>151</v>
      </c>
      <c r="F136" t="s">
        <v>152</v>
      </c>
      <c r="G136">
        <v>2</v>
      </c>
      <c r="J136">
        <v>18.260000000000002</v>
      </c>
      <c r="K136">
        <v>3.25</v>
      </c>
      <c r="M136" s="1">
        <v>18.260000000000002</v>
      </c>
      <c r="N136">
        <f t="shared" si="8"/>
        <v>-1.5259426229508222</v>
      </c>
      <c r="O136">
        <f t="shared" si="9"/>
        <v>2.3285008885380352</v>
      </c>
      <c r="P136">
        <f>Таблица5[[#This Row],[Xi]]^2</f>
        <v>333.42760000000004</v>
      </c>
      <c r="R136" s="3">
        <v>3.25</v>
      </c>
      <c r="S136">
        <f t="shared" si="10"/>
        <v>0.25172131147540977</v>
      </c>
      <c r="T136">
        <f t="shared" si="11"/>
        <v>6.3363618650900261E-2</v>
      </c>
      <c r="U136">
        <f>Таблица6[[#This Row],[Yi]]^2</f>
        <v>10.5625</v>
      </c>
      <c r="W136">
        <f>Таблица5[[#This Row],[Xi]]*Таблица6[[#This Row],[Yi]]</f>
        <v>59.345000000000006</v>
      </c>
    </row>
    <row r="137" spans="1:23" x14ac:dyDescent="0.25">
      <c r="A137" t="s">
        <v>232</v>
      </c>
      <c r="B137" t="s">
        <v>147</v>
      </c>
      <c r="C137" t="s">
        <v>9</v>
      </c>
      <c r="D137" t="s">
        <v>10</v>
      </c>
      <c r="E137" t="s">
        <v>151</v>
      </c>
      <c r="F137" t="s">
        <v>152</v>
      </c>
      <c r="G137">
        <v>2</v>
      </c>
      <c r="J137">
        <v>8.51</v>
      </c>
      <c r="K137">
        <v>1.25</v>
      </c>
      <c r="M137" s="2">
        <v>8.51</v>
      </c>
      <c r="N137">
        <f t="shared" si="8"/>
        <v>-11.275942622950824</v>
      </c>
      <c r="O137">
        <f t="shared" si="9"/>
        <v>127.14688203607911</v>
      </c>
      <c r="P137">
        <f>Таблица5[[#This Row],[Xi]]^2</f>
        <v>72.420099999999991</v>
      </c>
      <c r="R137" s="4">
        <v>1.25</v>
      </c>
      <c r="S137">
        <f t="shared" si="10"/>
        <v>-1.7482786885245902</v>
      </c>
      <c r="T137">
        <f t="shared" si="11"/>
        <v>3.056478372749261</v>
      </c>
      <c r="U137">
        <f>Таблица6[[#This Row],[Yi]]^2</f>
        <v>1.5625</v>
      </c>
      <c r="W137">
        <f>Таблица5[[#This Row],[Xi]]*Таблица6[[#This Row],[Yi]]</f>
        <v>10.637499999999999</v>
      </c>
    </row>
    <row r="138" spans="1:23" x14ac:dyDescent="0.25">
      <c r="A138" t="s">
        <v>44</v>
      </c>
      <c r="B138" t="s">
        <v>25</v>
      </c>
      <c r="C138" t="s">
        <v>9</v>
      </c>
      <c r="D138" t="s">
        <v>10</v>
      </c>
      <c r="E138" t="s">
        <v>151</v>
      </c>
      <c r="F138" t="s">
        <v>152</v>
      </c>
      <c r="G138">
        <v>2</v>
      </c>
      <c r="J138">
        <v>10.33</v>
      </c>
      <c r="K138">
        <v>2</v>
      </c>
      <c r="M138" s="1">
        <v>10.33</v>
      </c>
      <c r="N138">
        <f t="shared" si="8"/>
        <v>-9.4559426229508237</v>
      </c>
      <c r="O138">
        <f t="shared" si="9"/>
        <v>89.414850888538098</v>
      </c>
      <c r="P138">
        <f>Таблица5[[#This Row],[Xi]]^2</f>
        <v>106.7089</v>
      </c>
      <c r="R138" s="3">
        <v>2</v>
      </c>
      <c r="S138">
        <f t="shared" si="10"/>
        <v>-0.99827868852459023</v>
      </c>
      <c r="T138">
        <f t="shared" si="11"/>
        <v>0.99656033996237581</v>
      </c>
      <c r="U138">
        <f>Таблица6[[#This Row],[Yi]]^2</f>
        <v>4</v>
      </c>
      <c r="W138">
        <f>Таблица5[[#This Row],[Xi]]*Таблица6[[#This Row],[Yi]]</f>
        <v>20.66</v>
      </c>
    </row>
    <row r="139" spans="1:23" x14ac:dyDescent="0.25">
      <c r="A139" t="s">
        <v>233</v>
      </c>
      <c r="B139" t="s">
        <v>25</v>
      </c>
      <c r="C139" t="s">
        <v>9</v>
      </c>
      <c r="D139" t="s">
        <v>10</v>
      </c>
      <c r="E139" t="s">
        <v>151</v>
      </c>
      <c r="F139" t="s">
        <v>152</v>
      </c>
      <c r="G139">
        <v>2</v>
      </c>
      <c r="J139">
        <v>14.15</v>
      </c>
      <c r="K139">
        <v>2</v>
      </c>
      <c r="M139" s="2">
        <v>14.15</v>
      </c>
      <c r="N139">
        <f t="shared" si="8"/>
        <v>-5.6359426229508234</v>
      </c>
      <c r="O139">
        <f t="shared" si="9"/>
        <v>31.763849249193807</v>
      </c>
      <c r="P139">
        <f>Таблица5[[#This Row],[Xi]]^2</f>
        <v>200.2225</v>
      </c>
      <c r="R139" s="4">
        <v>2</v>
      </c>
      <c r="S139">
        <f t="shared" si="10"/>
        <v>-0.99827868852459023</v>
      </c>
      <c r="T139">
        <f t="shared" si="11"/>
        <v>0.99656033996237581</v>
      </c>
      <c r="U139">
        <f>Таблица6[[#This Row],[Yi]]^2</f>
        <v>4</v>
      </c>
      <c r="W139">
        <f>Таблица5[[#This Row],[Xi]]*Таблица6[[#This Row],[Yi]]</f>
        <v>28.3</v>
      </c>
    </row>
    <row r="140" spans="1:23" x14ac:dyDescent="0.25">
      <c r="A140" t="s">
        <v>234</v>
      </c>
      <c r="B140" t="s">
        <v>25</v>
      </c>
      <c r="C140" t="s">
        <v>15</v>
      </c>
      <c r="D140" t="s">
        <v>115</v>
      </c>
      <c r="E140" t="s">
        <v>151</v>
      </c>
      <c r="F140" t="s">
        <v>152</v>
      </c>
      <c r="G140">
        <v>2</v>
      </c>
      <c r="J140">
        <v>16</v>
      </c>
      <c r="K140">
        <v>2</v>
      </c>
      <c r="M140" s="1">
        <v>16</v>
      </c>
      <c r="N140">
        <f t="shared" si="8"/>
        <v>-3.7859426229508237</v>
      </c>
      <c r="O140">
        <f t="shared" si="9"/>
        <v>14.333361544275762</v>
      </c>
      <c r="P140">
        <f>Таблица5[[#This Row],[Xi]]^2</f>
        <v>256</v>
      </c>
      <c r="R140" s="3">
        <v>2</v>
      </c>
      <c r="S140">
        <f t="shared" si="10"/>
        <v>-0.99827868852459023</v>
      </c>
      <c r="T140">
        <f t="shared" si="11"/>
        <v>0.99656033996237581</v>
      </c>
      <c r="U140">
        <f>Таблица6[[#This Row],[Yi]]^2</f>
        <v>4</v>
      </c>
      <c r="W140">
        <f>Таблица5[[#This Row],[Xi]]*Таблица6[[#This Row],[Yi]]</f>
        <v>32</v>
      </c>
    </row>
    <row r="141" spans="1:23" x14ac:dyDescent="0.25">
      <c r="A141" t="s">
        <v>235</v>
      </c>
      <c r="B141" t="s">
        <v>55</v>
      </c>
      <c r="C141" t="s">
        <v>9</v>
      </c>
      <c r="D141" t="s">
        <v>10</v>
      </c>
      <c r="E141" t="s">
        <v>151</v>
      </c>
      <c r="F141" t="s">
        <v>152</v>
      </c>
      <c r="G141">
        <v>2</v>
      </c>
      <c r="J141">
        <v>13.16</v>
      </c>
      <c r="K141">
        <v>2.75</v>
      </c>
      <c r="M141" s="2">
        <v>13.16</v>
      </c>
      <c r="N141">
        <f t="shared" si="8"/>
        <v>-6.6259426229508236</v>
      </c>
      <c r="O141">
        <f t="shared" si="9"/>
        <v>43.903115642636443</v>
      </c>
      <c r="P141">
        <f>Таблица5[[#This Row],[Xi]]^2</f>
        <v>173.18559999999999</v>
      </c>
      <c r="R141" s="4">
        <v>2.75</v>
      </c>
      <c r="S141">
        <f t="shared" si="10"/>
        <v>-0.24827868852459023</v>
      </c>
      <c r="T141">
        <f t="shared" si="11"/>
        <v>6.1642307175490491E-2</v>
      </c>
      <c r="U141">
        <f>Таблица6[[#This Row],[Yi]]^2</f>
        <v>7.5625</v>
      </c>
      <c r="W141">
        <f>Таблица5[[#This Row],[Xi]]*Таблица6[[#This Row],[Yi]]</f>
        <v>36.19</v>
      </c>
    </row>
    <row r="142" spans="1:23" x14ac:dyDescent="0.25">
      <c r="A142" t="s">
        <v>236</v>
      </c>
      <c r="B142" t="s">
        <v>17</v>
      </c>
      <c r="C142" t="s">
        <v>9</v>
      </c>
      <c r="D142" t="s">
        <v>10</v>
      </c>
      <c r="E142" t="s">
        <v>151</v>
      </c>
      <c r="F142" t="s">
        <v>152</v>
      </c>
      <c r="G142">
        <v>2</v>
      </c>
      <c r="J142">
        <v>17.47</v>
      </c>
      <c r="K142">
        <v>3.5</v>
      </c>
      <c r="M142" s="1">
        <v>17.47</v>
      </c>
      <c r="N142">
        <f t="shared" si="8"/>
        <v>-2.3159426229508249</v>
      </c>
      <c r="O142">
        <f t="shared" si="9"/>
        <v>5.3635902328003464</v>
      </c>
      <c r="P142">
        <f>Таблица5[[#This Row],[Xi]]^2</f>
        <v>305.20089999999993</v>
      </c>
      <c r="R142" s="3">
        <v>3.5</v>
      </c>
      <c r="S142">
        <f t="shared" si="10"/>
        <v>0.50172131147540977</v>
      </c>
      <c r="T142">
        <f t="shared" si="11"/>
        <v>0.25172427438860517</v>
      </c>
      <c r="U142">
        <f>Таблица6[[#This Row],[Yi]]^2</f>
        <v>12.25</v>
      </c>
      <c r="W142">
        <f>Таблица5[[#This Row],[Xi]]*Таблица6[[#This Row],[Yi]]</f>
        <v>61.144999999999996</v>
      </c>
    </row>
    <row r="143" spans="1:23" x14ac:dyDescent="0.25">
      <c r="A143" t="s">
        <v>237</v>
      </c>
      <c r="B143" t="s">
        <v>238</v>
      </c>
      <c r="C143" t="s">
        <v>15</v>
      </c>
      <c r="D143" t="s">
        <v>10</v>
      </c>
      <c r="E143" t="s">
        <v>151</v>
      </c>
      <c r="F143" t="s">
        <v>152</v>
      </c>
      <c r="G143">
        <v>6</v>
      </c>
      <c r="J143">
        <v>34.299999999999997</v>
      </c>
      <c r="K143">
        <v>6.7</v>
      </c>
      <c r="M143" s="2">
        <v>34.299999999999997</v>
      </c>
      <c r="N143">
        <f t="shared" si="8"/>
        <v>14.514057377049173</v>
      </c>
      <c r="O143">
        <f t="shared" si="9"/>
        <v>210.65786154427553</v>
      </c>
      <c r="P143">
        <f>Таблица5[[#This Row],[Xi]]^2</f>
        <v>1176.4899999999998</v>
      </c>
      <c r="R143" s="4">
        <v>6.7</v>
      </c>
      <c r="S143">
        <f t="shared" si="10"/>
        <v>3.7017213114754099</v>
      </c>
      <c r="T143">
        <f t="shared" si="11"/>
        <v>13.702740667831229</v>
      </c>
      <c r="U143">
        <f>Таблица6[[#This Row],[Yi]]^2</f>
        <v>44.89</v>
      </c>
      <c r="W143">
        <f>Таблица5[[#This Row],[Xi]]*Таблица6[[#This Row],[Yi]]</f>
        <v>229.80999999999997</v>
      </c>
    </row>
    <row r="144" spans="1:23" x14ac:dyDescent="0.25">
      <c r="A144" t="s">
        <v>239</v>
      </c>
      <c r="B144" t="s">
        <v>35</v>
      </c>
      <c r="C144" t="s">
        <v>15</v>
      </c>
      <c r="D144" t="s">
        <v>10</v>
      </c>
      <c r="E144" t="s">
        <v>151</v>
      </c>
      <c r="F144" t="s">
        <v>152</v>
      </c>
      <c r="G144">
        <v>5</v>
      </c>
      <c r="J144">
        <v>41.19</v>
      </c>
      <c r="K144">
        <v>5</v>
      </c>
      <c r="M144" s="1">
        <v>41.19</v>
      </c>
      <c r="N144">
        <f t="shared" si="8"/>
        <v>21.404057377049174</v>
      </c>
      <c r="O144">
        <f t="shared" si="9"/>
        <v>458.13367220001317</v>
      </c>
      <c r="P144">
        <f>Таблица5[[#This Row],[Xi]]^2</f>
        <v>1696.6160999999997</v>
      </c>
      <c r="R144" s="3">
        <v>5</v>
      </c>
      <c r="S144">
        <f t="shared" si="10"/>
        <v>2.0017213114754098</v>
      </c>
      <c r="T144">
        <f t="shared" si="11"/>
        <v>4.0068882088148348</v>
      </c>
      <c r="U144">
        <f>Таблица6[[#This Row],[Yi]]^2</f>
        <v>25</v>
      </c>
      <c r="W144">
        <f>Таблица5[[#This Row],[Xi]]*Таблица6[[#This Row],[Yi]]</f>
        <v>205.95</v>
      </c>
    </row>
    <row r="145" spans="1:23" x14ac:dyDescent="0.25">
      <c r="A145" t="s">
        <v>240</v>
      </c>
      <c r="B145" t="s">
        <v>35</v>
      </c>
      <c r="C145" t="s">
        <v>9</v>
      </c>
      <c r="D145" t="s">
        <v>10</v>
      </c>
      <c r="E145" t="s">
        <v>151</v>
      </c>
      <c r="F145" t="s">
        <v>152</v>
      </c>
      <c r="G145">
        <v>6</v>
      </c>
      <c r="J145">
        <v>27.05</v>
      </c>
      <c r="K145">
        <v>5</v>
      </c>
      <c r="M145" s="2">
        <v>27.05</v>
      </c>
      <c r="N145">
        <f t="shared" si="8"/>
        <v>7.264057377049177</v>
      </c>
      <c r="O145">
        <f t="shared" si="9"/>
        <v>52.76652957706257</v>
      </c>
      <c r="P145">
        <f>Таблица5[[#This Row],[Xi]]^2</f>
        <v>731.70249999999999</v>
      </c>
      <c r="R145" s="4">
        <v>5</v>
      </c>
      <c r="S145">
        <f t="shared" si="10"/>
        <v>2.0017213114754098</v>
      </c>
      <c r="T145">
        <f t="shared" si="11"/>
        <v>4.0068882088148348</v>
      </c>
      <c r="U145">
        <f>Таблица6[[#This Row],[Yi]]^2</f>
        <v>25</v>
      </c>
      <c r="W145">
        <f>Таблица5[[#This Row],[Xi]]*Таблица6[[#This Row],[Yi]]</f>
        <v>135.25</v>
      </c>
    </row>
    <row r="146" spans="1:23" x14ac:dyDescent="0.25">
      <c r="A146" t="s">
        <v>241</v>
      </c>
      <c r="B146" t="s">
        <v>242</v>
      </c>
      <c r="C146" t="s">
        <v>9</v>
      </c>
      <c r="D146" t="s">
        <v>10</v>
      </c>
      <c r="E146" t="s">
        <v>151</v>
      </c>
      <c r="F146" t="s">
        <v>152</v>
      </c>
      <c r="G146">
        <v>2</v>
      </c>
      <c r="J146">
        <v>16.43</v>
      </c>
      <c r="K146">
        <v>2.2999999999999998</v>
      </c>
      <c r="M146" s="1">
        <v>16.43</v>
      </c>
      <c r="N146">
        <f t="shared" si="8"/>
        <v>-3.355942622950824</v>
      </c>
      <c r="O146">
        <f t="shared" si="9"/>
        <v>11.262350888538057</v>
      </c>
      <c r="P146">
        <f>Таблица5[[#This Row],[Xi]]^2</f>
        <v>269.94490000000002</v>
      </c>
      <c r="R146" s="3">
        <v>2.2999999999999998</v>
      </c>
      <c r="S146">
        <f t="shared" si="10"/>
        <v>-0.69827868852459041</v>
      </c>
      <c r="T146">
        <f t="shared" si="11"/>
        <v>0.48759312684762196</v>
      </c>
      <c r="U146">
        <f>Таблица6[[#This Row],[Yi]]^2</f>
        <v>5.2899999999999991</v>
      </c>
      <c r="W146">
        <f>Таблица5[[#This Row],[Xi]]*Таблица6[[#This Row],[Yi]]</f>
        <v>37.788999999999994</v>
      </c>
    </row>
    <row r="147" spans="1:23" x14ac:dyDescent="0.25">
      <c r="A147" t="s">
        <v>243</v>
      </c>
      <c r="B147" t="s">
        <v>117</v>
      </c>
      <c r="C147" t="s">
        <v>9</v>
      </c>
      <c r="D147" t="s">
        <v>10</v>
      </c>
      <c r="E147" t="s">
        <v>151</v>
      </c>
      <c r="F147" t="s">
        <v>152</v>
      </c>
      <c r="G147">
        <v>2</v>
      </c>
      <c r="J147">
        <v>8.35</v>
      </c>
      <c r="K147">
        <v>1.5</v>
      </c>
      <c r="M147" s="2">
        <v>8.35</v>
      </c>
      <c r="N147">
        <f t="shared" si="8"/>
        <v>-11.435942622950824</v>
      </c>
      <c r="O147">
        <f t="shared" si="9"/>
        <v>130.78078367542338</v>
      </c>
      <c r="P147">
        <f>Таблица5[[#This Row],[Xi]]^2</f>
        <v>69.722499999999997</v>
      </c>
      <c r="R147" s="4">
        <v>1.5</v>
      </c>
      <c r="S147">
        <f t="shared" si="10"/>
        <v>-1.4982786885245902</v>
      </c>
      <c r="T147">
        <f t="shared" si="11"/>
        <v>2.2448390284869659</v>
      </c>
      <c r="U147">
        <f>Таблица6[[#This Row],[Yi]]^2</f>
        <v>2.25</v>
      </c>
      <c r="W147">
        <f>Таблица5[[#This Row],[Xi]]*Таблица6[[#This Row],[Yi]]</f>
        <v>12.524999999999999</v>
      </c>
    </row>
    <row r="148" spans="1:23" x14ac:dyDescent="0.25">
      <c r="A148" t="s">
        <v>244</v>
      </c>
      <c r="B148" t="s">
        <v>245</v>
      </c>
      <c r="C148" t="s">
        <v>9</v>
      </c>
      <c r="D148" t="s">
        <v>10</v>
      </c>
      <c r="E148" t="s">
        <v>151</v>
      </c>
      <c r="F148" t="s">
        <v>152</v>
      </c>
      <c r="G148">
        <v>3</v>
      </c>
      <c r="J148">
        <v>18.64</v>
      </c>
      <c r="K148">
        <v>1.36</v>
      </c>
      <c r="M148" s="1">
        <v>18.64</v>
      </c>
      <c r="N148">
        <f t="shared" si="8"/>
        <v>-1.1459426229508232</v>
      </c>
      <c r="O148">
        <f t="shared" si="9"/>
        <v>1.3131844950954126</v>
      </c>
      <c r="P148">
        <f>Таблица5[[#This Row],[Xi]]^2</f>
        <v>347.44960000000003</v>
      </c>
      <c r="R148" s="3">
        <v>1.36</v>
      </c>
      <c r="S148">
        <f t="shared" si="10"/>
        <v>-1.6382786885245901</v>
      </c>
      <c r="T148">
        <f t="shared" si="11"/>
        <v>2.6839570612738508</v>
      </c>
      <c r="U148">
        <f>Таблица6[[#This Row],[Yi]]^2</f>
        <v>1.8496000000000004</v>
      </c>
      <c r="W148">
        <f>Таблица5[[#This Row],[Xi]]*Таблица6[[#This Row],[Yi]]</f>
        <v>25.350400000000004</v>
      </c>
    </row>
    <row r="149" spans="1:23" x14ac:dyDescent="0.25">
      <c r="A149" t="s">
        <v>246</v>
      </c>
      <c r="B149" t="s">
        <v>247</v>
      </c>
      <c r="C149" t="s">
        <v>9</v>
      </c>
      <c r="D149" t="s">
        <v>10</v>
      </c>
      <c r="E149" t="s">
        <v>151</v>
      </c>
      <c r="F149" t="s">
        <v>152</v>
      </c>
      <c r="G149">
        <v>2</v>
      </c>
      <c r="J149">
        <v>11.87</v>
      </c>
      <c r="K149">
        <v>1.63</v>
      </c>
      <c r="M149" s="2">
        <v>11.87</v>
      </c>
      <c r="N149">
        <f t="shared" si="8"/>
        <v>-7.9159426229508245</v>
      </c>
      <c r="O149">
        <f t="shared" si="9"/>
        <v>62.662147609849576</v>
      </c>
      <c r="P149">
        <f>Таблица5[[#This Row],[Xi]]^2</f>
        <v>140.89689999999999</v>
      </c>
      <c r="R149" s="4">
        <v>1.63</v>
      </c>
      <c r="S149">
        <f t="shared" si="10"/>
        <v>-1.3682786885245903</v>
      </c>
      <c r="T149">
        <f t="shared" si="11"/>
        <v>1.8721865694705728</v>
      </c>
      <c r="U149">
        <f>Таблица6[[#This Row],[Yi]]^2</f>
        <v>2.6568999999999998</v>
      </c>
      <c r="W149">
        <f>Таблица5[[#This Row],[Xi]]*Таблица6[[#This Row],[Yi]]</f>
        <v>19.348099999999999</v>
      </c>
    </row>
    <row r="150" spans="1:23" x14ac:dyDescent="0.25">
      <c r="A150" t="s">
        <v>248</v>
      </c>
      <c r="B150" t="s">
        <v>249</v>
      </c>
      <c r="C150" t="s">
        <v>15</v>
      </c>
      <c r="D150" t="s">
        <v>10</v>
      </c>
      <c r="E150" t="s">
        <v>151</v>
      </c>
      <c r="F150" t="s">
        <v>152</v>
      </c>
      <c r="G150">
        <v>2</v>
      </c>
      <c r="J150">
        <v>9.7799999999999994</v>
      </c>
      <c r="K150">
        <v>1.73</v>
      </c>
      <c r="M150" s="1">
        <v>9.7799999999999994</v>
      </c>
      <c r="N150">
        <f t="shared" si="8"/>
        <v>-10.005942622950824</v>
      </c>
      <c r="O150">
        <f t="shared" si="9"/>
        <v>100.11888777378402</v>
      </c>
      <c r="P150">
        <f>Таблица5[[#This Row],[Xi]]^2</f>
        <v>95.648399999999981</v>
      </c>
      <c r="R150" s="3">
        <v>1.73</v>
      </c>
      <c r="S150">
        <f t="shared" si="10"/>
        <v>-1.2682786885245902</v>
      </c>
      <c r="T150">
        <f t="shared" si="11"/>
        <v>1.6085308317656546</v>
      </c>
      <c r="U150">
        <f>Таблица6[[#This Row],[Yi]]^2</f>
        <v>2.9929000000000001</v>
      </c>
      <c r="W150">
        <f>Таблица5[[#This Row],[Xi]]*Таблица6[[#This Row],[Yi]]</f>
        <v>16.9194</v>
      </c>
    </row>
    <row r="151" spans="1:23" x14ac:dyDescent="0.25">
      <c r="A151" t="s">
        <v>250</v>
      </c>
      <c r="B151" t="s">
        <v>25</v>
      </c>
      <c r="C151" t="s">
        <v>15</v>
      </c>
      <c r="D151" t="s">
        <v>10</v>
      </c>
      <c r="E151" t="s">
        <v>151</v>
      </c>
      <c r="F151" t="s">
        <v>152</v>
      </c>
      <c r="G151">
        <v>2</v>
      </c>
      <c r="J151">
        <v>7.51</v>
      </c>
      <c r="K151">
        <v>2</v>
      </c>
      <c r="M151" s="2">
        <v>7.51</v>
      </c>
      <c r="N151">
        <f t="shared" si="8"/>
        <v>-12.275942622950824</v>
      </c>
      <c r="O151">
        <f t="shared" si="9"/>
        <v>150.69876728198076</v>
      </c>
      <c r="P151">
        <f>Таблица5[[#This Row],[Xi]]^2</f>
        <v>56.400099999999995</v>
      </c>
      <c r="R151" s="4">
        <v>2</v>
      </c>
      <c r="S151">
        <f t="shared" si="10"/>
        <v>-0.99827868852459023</v>
      </c>
      <c r="T151">
        <f t="shared" si="11"/>
        <v>0.99656033996237581</v>
      </c>
      <c r="U151">
        <f>Таблица6[[#This Row],[Yi]]^2</f>
        <v>4</v>
      </c>
      <c r="W151">
        <f>Таблица5[[#This Row],[Xi]]*Таблица6[[#This Row],[Yi]]</f>
        <v>15.02</v>
      </c>
    </row>
    <row r="152" spans="1:23" x14ac:dyDescent="0.25">
      <c r="A152" t="s">
        <v>251</v>
      </c>
      <c r="B152" t="s">
        <v>72</v>
      </c>
      <c r="C152" t="s">
        <v>15</v>
      </c>
      <c r="D152" t="s">
        <v>10</v>
      </c>
      <c r="E152" t="s">
        <v>11</v>
      </c>
      <c r="F152" t="s">
        <v>12</v>
      </c>
      <c r="G152">
        <v>2</v>
      </c>
      <c r="J152">
        <v>14.07</v>
      </c>
      <c r="K152">
        <v>2.5</v>
      </c>
      <c r="M152" s="1">
        <v>14.07</v>
      </c>
      <c r="N152">
        <f t="shared" si="8"/>
        <v>-5.7159426229508234</v>
      </c>
      <c r="O152">
        <f t="shared" si="9"/>
        <v>32.672000068865941</v>
      </c>
      <c r="P152">
        <f>Таблица5[[#This Row],[Xi]]^2</f>
        <v>197.9649</v>
      </c>
      <c r="R152" s="3">
        <v>2.5</v>
      </c>
      <c r="S152">
        <f t="shared" si="10"/>
        <v>-0.49827868852459023</v>
      </c>
      <c r="T152">
        <f t="shared" si="11"/>
        <v>0.24828165143778561</v>
      </c>
      <c r="U152">
        <f>Таблица6[[#This Row],[Yi]]^2</f>
        <v>6.25</v>
      </c>
      <c r="W152">
        <f>Таблица5[[#This Row],[Xi]]*Таблица6[[#This Row],[Yi]]</f>
        <v>35.174999999999997</v>
      </c>
    </row>
    <row r="153" spans="1:23" x14ac:dyDescent="0.25">
      <c r="A153" t="s">
        <v>252</v>
      </c>
      <c r="B153" t="s">
        <v>25</v>
      </c>
      <c r="C153" t="s">
        <v>15</v>
      </c>
      <c r="D153" t="s">
        <v>10</v>
      </c>
      <c r="E153" t="s">
        <v>11</v>
      </c>
      <c r="F153" t="s">
        <v>12</v>
      </c>
      <c r="G153">
        <v>2</v>
      </c>
      <c r="J153">
        <v>13.13</v>
      </c>
      <c r="K153">
        <v>2</v>
      </c>
      <c r="M153" s="2">
        <v>13.13</v>
      </c>
      <c r="N153">
        <f t="shared" si="8"/>
        <v>-6.655942622950823</v>
      </c>
      <c r="O153">
        <f t="shared" si="9"/>
        <v>44.301572200013482</v>
      </c>
      <c r="P153">
        <f>Таблица5[[#This Row],[Xi]]^2</f>
        <v>172.39690000000002</v>
      </c>
      <c r="R153" s="4">
        <v>2</v>
      </c>
      <c r="S153">
        <f t="shared" si="10"/>
        <v>-0.99827868852459023</v>
      </c>
      <c r="T153">
        <f t="shared" si="11"/>
        <v>0.99656033996237581</v>
      </c>
      <c r="U153">
        <f>Таблица6[[#This Row],[Yi]]^2</f>
        <v>4</v>
      </c>
      <c r="W153">
        <f>Таблица5[[#This Row],[Xi]]*Таблица6[[#This Row],[Yi]]</f>
        <v>26.26</v>
      </c>
    </row>
    <row r="154" spans="1:23" x14ac:dyDescent="0.25">
      <c r="A154" t="s">
        <v>253</v>
      </c>
      <c r="B154" t="s">
        <v>254</v>
      </c>
      <c r="C154" t="s">
        <v>15</v>
      </c>
      <c r="D154" t="s">
        <v>10</v>
      </c>
      <c r="E154" t="s">
        <v>11</v>
      </c>
      <c r="F154" t="s">
        <v>12</v>
      </c>
      <c r="G154">
        <v>3</v>
      </c>
      <c r="J154">
        <v>17.260000000000002</v>
      </c>
      <c r="K154">
        <v>2.74</v>
      </c>
      <c r="M154" s="1">
        <v>17.260000000000002</v>
      </c>
      <c r="N154">
        <f t="shared" si="8"/>
        <v>-2.5259426229508222</v>
      </c>
      <c r="O154">
        <f t="shared" si="9"/>
        <v>6.3803861344396795</v>
      </c>
      <c r="P154">
        <f>Таблица5[[#This Row],[Xi]]^2</f>
        <v>297.90760000000006</v>
      </c>
      <c r="R154" s="3">
        <v>2.74</v>
      </c>
      <c r="S154">
        <f t="shared" si="10"/>
        <v>-0.25827868852459002</v>
      </c>
      <c r="T154">
        <f t="shared" si="11"/>
        <v>6.6707880945982193E-2</v>
      </c>
      <c r="U154">
        <f>Таблица6[[#This Row],[Yi]]^2</f>
        <v>7.5076000000000009</v>
      </c>
      <c r="W154">
        <f>Таблица5[[#This Row],[Xi]]*Таблица6[[#This Row],[Yi]]</f>
        <v>47.292400000000008</v>
      </c>
    </row>
    <row r="155" spans="1:23" x14ac:dyDescent="0.25">
      <c r="A155" t="s">
        <v>255</v>
      </c>
      <c r="B155" t="s">
        <v>25</v>
      </c>
      <c r="C155" t="s">
        <v>15</v>
      </c>
      <c r="D155" t="s">
        <v>10</v>
      </c>
      <c r="E155" t="s">
        <v>11</v>
      </c>
      <c r="F155" t="s">
        <v>12</v>
      </c>
      <c r="G155">
        <v>4</v>
      </c>
      <c r="J155">
        <v>24.55</v>
      </c>
      <c r="K155">
        <v>2</v>
      </c>
      <c r="M155" s="2">
        <v>24.55</v>
      </c>
      <c r="N155">
        <f t="shared" si="8"/>
        <v>4.764057377049177</v>
      </c>
      <c r="O155">
        <f t="shared" si="9"/>
        <v>22.696242691816686</v>
      </c>
      <c r="P155">
        <f>Таблица5[[#This Row],[Xi]]^2</f>
        <v>602.70249999999999</v>
      </c>
      <c r="R155" s="4">
        <v>2</v>
      </c>
      <c r="S155">
        <f t="shared" si="10"/>
        <v>-0.99827868852459023</v>
      </c>
      <c r="T155">
        <f t="shared" si="11"/>
        <v>0.99656033996237581</v>
      </c>
      <c r="U155">
        <f>Таблица6[[#This Row],[Yi]]^2</f>
        <v>4</v>
      </c>
      <c r="W155">
        <f>Таблица5[[#This Row],[Xi]]*Таблица6[[#This Row],[Yi]]</f>
        <v>49.1</v>
      </c>
    </row>
    <row r="156" spans="1:23" x14ac:dyDescent="0.25">
      <c r="A156" t="s">
        <v>256</v>
      </c>
      <c r="B156" t="s">
        <v>25</v>
      </c>
      <c r="C156" t="s">
        <v>15</v>
      </c>
      <c r="D156" t="s">
        <v>10</v>
      </c>
      <c r="E156" t="s">
        <v>11</v>
      </c>
      <c r="F156" t="s">
        <v>12</v>
      </c>
      <c r="G156">
        <v>4</v>
      </c>
      <c r="J156">
        <v>19.77</v>
      </c>
      <c r="K156">
        <v>2</v>
      </c>
      <c r="M156" s="1">
        <v>19.77</v>
      </c>
      <c r="N156">
        <f t="shared" si="8"/>
        <v>-1.5942622950824159E-2</v>
      </c>
      <c r="O156">
        <f t="shared" si="9"/>
        <v>2.5416722655214523E-4</v>
      </c>
      <c r="P156">
        <f>Таблица5[[#This Row],[Xi]]^2</f>
        <v>390.85289999999998</v>
      </c>
      <c r="R156" s="3">
        <v>2</v>
      </c>
      <c r="S156">
        <f t="shared" si="10"/>
        <v>-0.99827868852459023</v>
      </c>
      <c r="T156">
        <f t="shared" si="11"/>
        <v>0.99656033996237581</v>
      </c>
      <c r="U156">
        <f>Таблица6[[#This Row],[Yi]]^2</f>
        <v>4</v>
      </c>
      <c r="W156">
        <f>Таблица5[[#This Row],[Xi]]*Таблица6[[#This Row],[Yi]]</f>
        <v>39.54</v>
      </c>
    </row>
    <row r="157" spans="1:23" x14ac:dyDescent="0.25">
      <c r="A157" t="s">
        <v>257</v>
      </c>
      <c r="B157" t="s">
        <v>258</v>
      </c>
      <c r="C157" t="s">
        <v>9</v>
      </c>
      <c r="D157" t="s">
        <v>10</v>
      </c>
      <c r="E157" t="s">
        <v>11</v>
      </c>
      <c r="F157" t="s">
        <v>12</v>
      </c>
      <c r="G157">
        <v>5</v>
      </c>
      <c r="J157">
        <v>29.85</v>
      </c>
      <c r="K157">
        <v>5.14</v>
      </c>
      <c r="M157" s="2">
        <v>29.85</v>
      </c>
      <c r="N157">
        <f t="shared" si="8"/>
        <v>10.064057377049178</v>
      </c>
      <c r="O157">
        <f t="shared" si="9"/>
        <v>101.28525088853797</v>
      </c>
      <c r="P157">
        <f>Таблица5[[#This Row],[Xi]]^2</f>
        <v>891.02250000000004</v>
      </c>
      <c r="R157" s="4">
        <v>5.14</v>
      </c>
      <c r="S157">
        <f t="shared" si="10"/>
        <v>2.1417213114754095</v>
      </c>
      <c r="T157">
        <f t="shared" si="11"/>
        <v>4.5869701760279478</v>
      </c>
      <c r="U157">
        <f>Таблица6[[#This Row],[Yi]]^2</f>
        <v>26.419599999999996</v>
      </c>
      <c r="W157">
        <f>Таблица5[[#This Row],[Xi]]*Таблица6[[#This Row],[Yi]]</f>
        <v>153.429</v>
      </c>
    </row>
    <row r="158" spans="1:23" x14ac:dyDescent="0.25">
      <c r="A158" t="s">
        <v>259</v>
      </c>
      <c r="B158" t="s">
        <v>35</v>
      </c>
      <c r="C158" t="s">
        <v>15</v>
      </c>
      <c r="D158" t="s">
        <v>10</v>
      </c>
      <c r="E158" t="s">
        <v>11</v>
      </c>
      <c r="F158" t="s">
        <v>12</v>
      </c>
      <c r="G158">
        <v>6</v>
      </c>
      <c r="J158">
        <v>48.17</v>
      </c>
      <c r="K158">
        <v>5</v>
      </c>
      <c r="M158" s="1">
        <v>48.17</v>
      </c>
      <c r="N158">
        <f t="shared" si="8"/>
        <v>28.384057377049178</v>
      </c>
      <c r="O158">
        <f t="shared" si="9"/>
        <v>805.65471318361983</v>
      </c>
      <c r="P158">
        <f>Таблица5[[#This Row],[Xi]]^2</f>
        <v>2320.3489</v>
      </c>
      <c r="R158" s="3">
        <v>5</v>
      </c>
      <c r="S158">
        <f t="shared" si="10"/>
        <v>2.0017213114754098</v>
      </c>
      <c r="T158">
        <f t="shared" si="11"/>
        <v>4.0068882088148348</v>
      </c>
      <c r="U158">
        <f>Таблица6[[#This Row],[Yi]]^2</f>
        <v>25</v>
      </c>
      <c r="W158">
        <f>Таблица5[[#This Row],[Xi]]*Таблица6[[#This Row],[Yi]]</f>
        <v>240.85000000000002</v>
      </c>
    </row>
    <row r="159" spans="1:23" x14ac:dyDescent="0.25">
      <c r="A159" t="s">
        <v>260</v>
      </c>
      <c r="B159" t="s">
        <v>261</v>
      </c>
      <c r="C159" t="s">
        <v>9</v>
      </c>
      <c r="D159" t="s">
        <v>10</v>
      </c>
      <c r="E159" t="s">
        <v>11</v>
      </c>
      <c r="F159" t="s">
        <v>12</v>
      </c>
      <c r="G159">
        <v>4</v>
      </c>
      <c r="J159">
        <v>25</v>
      </c>
      <c r="K159">
        <v>3.75</v>
      </c>
      <c r="M159" s="2">
        <v>25</v>
      </c>
      <c r="N159">
        <f t="shared" si="8"/>
        <v>5.2140573770491763</v>
      </c>
      <c r="O159">
        <f t="shared" si="9"/>
        <v>27.186394331160937</v>
      </c>
      <c r="P159">
        <f>Таблица5[[#This Row],[Xi]]^2</f>
        <v>625</v>
      </c>
      <c r="R159" s="4">
        <v>3.75</v>
      </c>
      <c r="S159">
        <f t="shared" si="10"/>
        <v>0.75172131147540977</v>
      </c>
      <c r="T159">
        <f t="shared" si="11"/>
        <v>0.56508493012631</v>
      </c>
      <c r="U159">
        <f>Таблица6[[#This Row],[Yi]]^2</f>
        <v>14.0625</v>
      </c>
      <c r="W159">
        <f>Таблица5[[#This Row],[Xi]]*Таблица6[[#This Row],[Yi]]</f>
        <v>93.75</v>
      </c>
    </row>
    <row r="160" spans="1:23" x14ac:dyDescent="0.25">
      <c r="A160" t="s">
        <v>262</v>
      </c>
      <c r="B160" t="s">
        <v>263</v>
      </c>
      <c r="C160" t="s">
        <v>9</v>
      </c>
      <c r="D160" t="s">
        <v>10</v>
      </c>
      <c r="E160" t="s">
        <v>11</v>
      </c>
      <c r="F160" t="s">
        <v>12</v>
      </c>
      <c r="G160">
        <v>2</v>
      </c>
      <c r="J160">
        <v>13.39</v>
      </c>
      <c r="K160">
        <v>2.61</v>
      </c>
      <c r="M160" s="1">
        <v>13.39</v>
      </c>
      <c r="N160">
        <f t="shared" si="8"/>
        <v>-6.3959426229508232</v>
      </c>
      <c r="O160">
        <f t="shared" si="9"/>
        <v>40.908082036079058</v>
      </c>
      <c r="P160">
        <f>Таблица5[[#This Row],[Xi]]^2</f>
        <v>179.2921</v>
      </c>
      <c r="R160" s="3">
        <v>2.61</v>
      </c>
      <c r="S160">
        <f t="shared" si="10"/>
        <v>-0.38827868852459035</v>
      </c>
      <c r="T160">
        <f t="shared" si="11"/>
        <v>0.15076033996237587</v>
      </c>
      <c r="U160">
        <f>Таблица6[[#This Row],[Yi]]^2</f>
        <v>6.8120999999999992</v>
      </c>
      <c r="W160">
        <f>Таблица5[[#This Row],[Xi]]*Таблица6[[#This Row],[Yi]]</f>
        <v>34.947899999999997</v>
      </c>
    </row>
    <row r="161" spans="1:23" x14ac:dyDescent="0.25">
      <c r="A161" t="s">
        <v>264</v>
      </c>
      <c r="B161" t="s">
        <v>25</v>
      </c>
      <c r="C161" t="s">
        <v>15</v>
      </c>
      <c r="D161" t="s">
        <v>10</v>
      </c>
      <c r="E161" t="s">
        <v>11</v>
      </c>
      <c r="F161" t="s">
        <v>12</v>
      </c>
      <c r="G161">
        <v>4</v>
      </c>
      <c r="J161">
        <v>16.489999999999998</v>
      </c>
      <c r="K161">
        <v>2</v>
      </c>
      <c r="M161" s="2">
        <v>16.489999999999998</v>
      </c>
      <c r="N161">
        <f t="shared" si="8"/>
        <v>-3.2959426229508253</v>
      </c>
      <c r="O161">
        <f t="shared" si="9"/>
        <v>10.863237773783966</v>
      </c>
      <c r="P161">
        <f>Таблица5[[#This Row],[Xi]]^2</f>
        <v>271.92009999999993</v>
      </c>
      <c r="R161" s="4">
        <v>2</v>
      </c>
      <c r="S161">
        <f t="shared" si="10"/>
        <v>-0.99827868852459023</v>
      </c>
      <c r="T161">
        <f t="shared" si="11"/>
        <v>0.99656033996237581</v>
      </c>
      <c r="U161">
        <f>Таблица6[[#This Row],[Yi]]^2</f>
        <v>4</v>
      </c>
      <c r="W161">
        <f>Таблица5[[#This Row],[Xi]]*Таблица6[[#This Row],[Yi]]</f>
        <v>32.979999999999997</v>
      </c>
    </row>
    <row r="162" spans="1:23" x14ac:dyDescent="0.25">
      <c r="A162" t="s">
        <v>265</v>
      </c>
      <c r="B162" t="s">
        <v>17</v>
      </c>
      <c r="C162" t="s">
        <v>15</v>
      </c>
      <c r="D162" t="s">
        <v>10</v>
      </c>
      <c r="E162" t="s">
        <v>11</v>
      </c>
      <c r="F162" t="s">
        <v>12</v>
      </c>
      <c r="G162">
        <v>4</v>
      </c>
      <c r="J162">
        <v>21.5</v>
      </c>
      <c r="K162">
        <v>3.5</v>
      </c>
      <c r="M162" s="1">
        <v>21.5</v>
      </c>
      <c r="N162">
        <f t="shared" si="8"/>
        <v>1.7140573770491763</v>
      </c>
      <c r="O162">
        <f t="shared" si="9"/>
        <v>2.9379926918167021</v>
      </c>
      <c r="P162">
        <f>Таблица5[[#This Row],[Xi]]^2</f>
        <v>462.25</v>
      </c>
      <c r="R162" s="3">
        <v>3.5</v>
      </c>
      <c r="S162">
        <f t="shared" si="10"/>
        <v>0.50172131147540977</v>
      </c>
      <c r="T162">
        <f t="shared" si="11"/>
        <v>0.25172427438860517</v>
      </c>
      <c r="U162">
        <f>Таблица6[[#This Row],[Yi]]^2</f>
        <v>12.25</v>
      </c>
      <c r="W162">
        <f>Таблица5[[#This Row],[Xi]]*Таблица6[[#This Row],[Yi]]</f>
        <v>75.25</v>
      </c>
    </row>
    <row r="163" spans="1:23" x14ac:dyDescent="0.25">
      <c r="A163" t="s">
        <v>266</v>
      </c>
      <c r="B163" t="s">
        <v>72</v>
      </c>
      <c r="C163" t="s">
        <v>15</v>
      </c>
      <c r="D163" t="s">
        <v>10</v>
      </c>
      <c r="E163" t="s">
        <v>11</v>
      </c>
      <c r="F163" t="s">
        <v>12</v>
      </c>
      <c r="G163">
        <v>2</v>
      </c>
      <c r="J163">
        <v>12.66</v>
      </c>
      <c r="K163">
        <v>2.5</v>
      </c>
      <c r="M163" s="2">
        <v>12.66</v>
      </c>
      <c r="N163">
        <f t="shared" si="8"/>
        <v>-7.1259426229508236</v>
      </c>
      <c r="O163">
        <f t="shared" si="9"/>
        <v>50.779058265587267</v>
      </c>
      <c r="P163">
        <f>Таблица5[[#This Row],[Xi]]^2</f>
        <v>160.2756</v>
      </c>
      <c r="R163" s="4">
        <v>2.5</v>
      </c>
      <c r="S163">
        <f t="shared" si="10"/>
        <v>-0.49827868852459023</v>
      </c>
      <c r="T163">
        <f t="shared" si="11"/>
        <v>0.24828165143778561</v>
      </c>
      <c r="U163">
        <f>Таблица6[[#This Row],[Yi]]^2</f>
        <v>6.25</v>
      </c>
      <c r="W163">
        <f>Таблица5[[#This Row],[Xi]]*Таблица6[[#This Row],[Yi]]</f>
        <v>31.65</v>
      </c>
    </row>
    <row r="164" spans="1:23" x14ac:dyDescent="0.25">
      <c r="A164" t="s">
        <v>267</v>
      </c>
      <c r="B164" t="s">
        <v>25</v>
      </c>
      <c r="C164" t="s">
        <v>9</v>
      </c>
      <c r="D164" t="s">
        <v>10</v>
      </c>
      <c r="E164" t="s">
        <v>11</v>
      </c>
      <c r="F164" t="s">
        <v>12</v>
      </c>
      <c r="G164">
        <v>3</v>
      </c>
      <c r="J164">
        <v>16.21</v>
      </c>
      <c r="K164">
        <v>2</v>
      </c>
      <c r="M164" s="1">
        <v>16.21</v>
      </c>
      <c r="N164">
        <f t="shared" si="8"/>
        <v>-3.5759426229508229</v>
      </c>
      <c r="O164">
        <f t="shared" si="9"/>
        <v>12.787365642636411</v>
      </c>
      <c r="P164">
        <f>Таблица5[[#This Row],[Xi]]^2</f>
        <v>262.76410000000004</v>
      </c>
      <c r="R164" s="3">
        <v>2</v>
      </c>
      <c r="S164">
        <f t="shared" si="10"/>
        <v>-0.99827868852459023</v>
      </c>
      <c r="T164">
        <f t="shared" si="11"/>
        <v>0.99656033996237581</v>
      </c>
      <c r="U164">
        <f>Таблица6[[#This Row],[Yi]]^2</f>
        <v>4</v>
      </c>
      <c r="W164">
        <f>Таблица5[[#This Row],[Xi]]*Таблица6[[#This Row],[Yi]]</f>
        <v>32.42</v>
      </c>
    </row>
    <row r="165" spans="1:23" x14ac:dyDescent="0.25">
      <c r="A165" t="s">
        <v>123</v>
      </c>
      <c r="B165" t="s">
        <v>25</v>
      </c>
      <c r="C165" t="s">
        <v>15</v>
      </c>
      <c r="D165" t="s">
        <v>10</v>
      </c>
      <c r="E165" t="s">
        <v>11</v>
      </c>
      <c r="F165" t="s">
        <v>12</v>
      </c>
      <c r="G165">
        <v>2</v>
      </c>
      <c r="J165">
        <v>13.81</v>
      </c>
      <c r="K165">
        <v>2</v>
      </c>
      <c r="M165" s="2">
        <v>13.81</v>
      </c>
      <c r="N165">
        <f t="shared" si="8"/>
        <v>-5.9759426229508232</v>
      </c>
      <c r="O165">
        <f t="shared" si="9"/>
        <v>35.711890232800364</v>
      </c>
      <c r="P165">
        <f>Таблица5[[#This Row],[Xi]]^2</f>
        <v>190.71610000000001</v>
      </c>
      <c r="R165" s="4">
        <v>2</v>
      </c>
      <c r="S165">
        <f t="shared" si="10"/>
        <v>-0.99827868852459023</v>
      </c>
      <c r="T165">
        <f t="shared" si="11"/>
        <v>0.99656033996237581</v>
      </c>
      <c r="U165">
        <f>Таблица6[[#This Row],[Yi]]^2</f>
        <v>4</v>
      </c>
      <c r="W165">
        <f>Таблица5[[#This Row],[Xi]]*Таблица6[[#This Row],[Yi]]</f>
        <v>27.62</v>
      </c>
    </row>
    <row r="166" spans="1:23" x14ac:dyDescent="0.25">
      <c r="A166" t="s">
        <v>268</v>
      </c>
      <c r="B166" t="s">
        <v>39</v>
      </c>
      <c r="C166" t="s">
        <v>9</v>
      </c>
      <c r="D166" t="s">
        <v>115</v>
      </c>
      <c r="E166" t="s">
        <v>11</v>
      </c>
      <c r="F166" t="s">
        <v>12</v>
      </c>
      <c r="G166">
        <v>2</v>
      </c>
      <c r="J166">
        <v>17.510000000000002</v>
      </c>
      <c r="K166">
        <v>3</v>
      </c>
      <c r="M166" s="1">
        <v>17.510000000000002</v>
      </c>
      <c r="N166">
        <f t="shared" si="8"/>
        <v>-2.2759426229508222</v>
      </c>
      <c r="O166">
        <f t="shared" si="9"/>
        <v>5.1799148229642684</v>
      </c>
      <c r="P166">
        <f>Таблица5[[#This Row],[Xi]]^2</f>
        <v>306.60010000000005</v>
      </c>
      <c r="R166" s="3">
        <v>3</v>
      </c>
      <c r="S166">
        <f t="shared" si="10"/>
        <v>1.7213114754097703E-3</v>
      </c>
      <c r="T166">
        <f t="shared" si="11"/>
        <v>2.9629131953773601E-6</v>
      </c>
      <c r="U166">
        <f>Таблица6[[#This Row],[Yi]]^2</f>
        <v>9</v>
      </c>
      <c r="W166">
        <f>Таблица5[[#This Row],[Xi]]*Таблица6[[#This Row],[Yi]]</f>
        <v>52.53</v>
      </c>
    </row>
    <row r="167" spans="1:23" x14ac:dyDescent="0.25">
      <c r="A167" t="s">
        <v>269</v>
      </c>
      <c r="B167" t="s">
        <v>187</v>
      </c>
      <c r="C167" t="s">
        <v>15</v>
      </c>
      <c r="D167" t="s">
        <v>10</v>
      </c>
      <c r="E167" t="s">
        <v>11</v>
      </c>
      <c r="F167" t="s">
        <v>12</v>
      </c>
      <c r="G167">
        <v>3</v>
      </c>
      <c r="J167">
        <v>24.52</v>
      </c>
      <c r="K167">
        <v>3.48</v>
      </c>
      <c r="M167" s="2">
        <v>24.52</v>
      </c>
      <c r="N167">
        <f t="shared" si="8"/>
        <v>4.7340573770491758</v>
      </c>
      <c r="O167">
        <f t="shared" si="9"/>
        <v>22.411299249193721</v>
      </c>
      <c r="P167">
        <f>Таблица5[[#This Row],[Xi]]^2</f>
        <v>601.23040000000003</v>
      </c>
      <c r="R167" s="4">
        <v>3.48</v>
      </c>
      <c r="S167">
        <f t="shared" si="10"/>
        <v>0.48172131147540975</v>
      </c>
      <c r="T167">
        <f t="shared" si="11"/>
        <v>0.23205542192958875</v>
      </c>
      <c r="U167">
        <f>Таблица6[[#This Row],[Yi]]^2</f>
        <v>12.1104</v>
      </c>
      <c r="W167">
        <f>Таблица5[[#This Row],[Xi]]*Таблица6[[#This Row],[Yi]]</f>
        <v>85.329599999999999</v>
      </c>
    </row>
    <row r="168" spans="1:23" x14ac:dyDescent="0.25">
      <c r="A168" t="s">
        <v>270</v>
      </c>
      <c r="B168" t="s">
        <v>87</v>
      </c>
      <c r="C168" t="s">
        <v>15</v>
      </c>
      <c r="D168" t="s">
        <v>10</v>
      </c>
      <c r="E168" t="s">
        <v>11</v>
      </c>
      <c r="F168" t="s">
        <v>12</v>
      </c>
      <c r="G168">
        <v>2</v>
      </c>
      <c r="J168">
        <v>20.76</v>
      </c>
      <c r="K168">
        <v>2.2400000000000002</v>
      </c>
      <c r="M168" s="1">
        <v>20.76</v>
      </c>
      <c r="N168">
        <f t="shared" si="8"/>
        <v>0.97405737704917783</v>
      </c>
      <c r="O168">
        <f t="shared" si="9"/>
        <v>0.9487877737839242</v>
      </c>
      <c r="P168">
        <f>Таблица5[[#This Row],[Xi]]^2</f>
        <v>430.97760000000005</v>
      </c>
      <c r="R168" s="3">
        <v>2.2400000000000002</v>
      </c>
      <c r="S168">
        <f t="shared" si="10"/>
        <v>-0.75827868852459002</v>
      </c>
      <c r="T168">
        <f t="shared" si="11"/>
        <v>0.57498656947057225</v>
      </c>
      <c r="U168">
        <f>Таблица6[[#This Row],[Yi]]^2</f>
        <v>5.0176000000000007</v>
      </c>
      <c r="W168">
        <f>Таблица5[[#This Row],[Xi]]*Таблица6[[#This Row],[Yi]]</f>
        <v>46.502400000000009</v>
      </c>
    </row>
    <row r="169" spans="1:23" x14ac:dyDescent="0.25">
      <c r="A169" t="s">
        <v>271</v>
      </c>
      <c r="B169" t="s">
        <v>272</v>
      </c>
      <c r="C169" t="s">
        <v>15</v>
      </c>
      <c r="D169" t="s">
        <v>10</v>
      </c>
      <c r="E169" t="s">
        <v>11</v>
      </c>
      <c r="F169" t="s">
        <v>12</v>
      </c>
      <c r="G169">
        <v>4</v>
      </c>
      <c r="J169">
        <v>31.71</v>
      </c>
      <c r="K169">
        <v>4.5</v>
      </c>
      <c r="M169" s="2">
        <v>31.71</v>
      </c>
      <c r="N169">
        <f t="shared" si="8"/>
        <v>11.924057377049177</v>
      </c>
      <c r="O169">
        <f t="shared" si="9"/>
        <v>142.18314433116089</v>
      </c>
      <c r="P169">
        <f>Таблица5[[#This Row],[Xi]]^2</f>
        <v>1005.5241000000001</v>
      </c>
      <c r="R169" s="4">
        <v>4.5</v>
      </c>
      <c r="S169">
        <f t="shared" si="10"/>
        <v>1.5017213114754098</v>
      </c>
      <c r="T169">
        <f t="shared" si="11"/>
        <v>2.2551668973394245</v>
      </c>
      <c r="U169">
        <f>Таблица6[[#This Row],[Yi]]^2</f>
        <v>20.25</v>
      </c>
      <c r="W169">
        <f>Таблица5[[#This Row],[Xi]]*Таблица6[[#This Row],[Yi]]</f>
        <v>142.69499999999999</v>
      </c>
    </row>
    <row r="170" spans="1:23" x14ac:dyDescent="0.25">
      <c r="A170" t="s">
        <v>273</v>
      </c>
      <c r="B170" t="s">
        <v>274</v>
      </c>
      <c r="C170" t="s">
        <v>9</v>
      </c>
      <c r="D170" t="s">
        <v>115</v>
      </c>
      <c r="E170" t="s">
        <v>51</v>
      </c>
      <c r="F170" t="s">
        <v>12</v>
      </c>
      <c r="G170">
        <v>2</v>
      </c>
      <c r="J170">
        <v>10.59</v>
      </c>
      <c r="K170">
        <v>1.61</v>
      </c>
      <c r="M170" s="1">
        <v>10.59</v>
      </c>
      <c r="N170">
        <f t="shared" si="8"/>
        <v>-9.1959426229508239</v>
      </c>
      <c r="O170">
        <f t="shared" si="9"/>
        <v>84.565360724603678</v>
      </c>
      <c r="P170">
        <f>Таблица5[[#This Row],[Xi]]^2</f>
        <v>112.1481</v>
      </c>
      <c r="R170" s="3">
        <v>1.61</v>
      </c>
      <c r="S170">
        <f t="shared" si="10"/>
        <v>-1.3882786885245901</v>
      </c>
      <c r="T170">
        <f t="shared" si="11"/>
        <v>1.9273177170115559</v>
      </c>
      <c r="U170">
        <f>Таблица6[[#This Row],[Yi]]^2</f>
        <v>2.5921000000000003</v>
      </c>
      <c r="W170">
        <f>Таблица5[[#This Row],[Xi]]*Таблица6[[#This Row],[Yi]]</f>
        <v>17.049900000000001</v>
      </c>
    </row>
    <row r="171" spans="1:23" x14ac:dyDescent="0.25">
      <c r="A171" t="s">
        <v>275</v>
      </c>
      <c r="B171" t="s">
        <v>25</v>
      </c>
      <c r="C171" t="s">
        <v>9</v>
      </c>
      <c r="D171" t="s">
        <v>115</v>
      </c>
      <c r="E171" t="s">
        <v>51</v>
      </c>
      <c r="F171" t="s">
        <v>12</v>
      </c>
      <c r="G171">
        <v>2</v>
      </c>
      <c r="J171">
        <v>10.63</v>
      </c>
      <c r="K171">
        <v>2</v>
      </c>
      <c r="M171" s="2">
        <v>10.63</v>
      </c>
      <c r="N171">
        <f t="shared" si="8"/>
        <v>-9.155942622950823</v>
      </c>
      <c r="O171">
        <f t="shared" si="9"/>
        <v>83.831285314767598</v>
      </c>
      <c r="P171">
        <f>Таблица5[[#This Row],[Xi]]^2</f>
        <v>112.99690000000001</v>
      </c>
      <c r="R171" s="4">
        <v>2</v>
      </c>
      <c r="S171">
        <f t="shared" si="10"/>
        <v>-0.99827868852459023</v>
      </c>
      <c r="T171">
        <f t="shared" si="11"/>
        <v>0.99656033996237581</v>
      </c>
      <c r="U171">
        <f>Таблица6[[#This Row],[Yi]]^2</f>
        <v>4</v>
      </c>
      <c r="W171">
        <f>Таблица5[[#This Row],[Xi]]*Таблица6[[#This Row],[Yi]]</f>
        <v>21.26</v>
      </c>
    </row>
    <row r="172" spans="1:23" x14ac:dyDescent="0.25">
      <c r="A172" t="s">
        <v>276</v>
      </c>
      <c r="B172" t="s">
        <v>277</v>
      </c>
      <c r="C172" t="s">
        <v>15</v>
      </c>
      <c r="D172" t="s">
        <v>115</v>
      </c>
      <c r="E172" t="s">
        <v>51</v>
      </c>
      <c r="F172" t="s">
        <v>12</v>
      </c>
      <c r="G172">
        <v>3</v>
      </c>
      <c r="J172">
        <v>50.81</v>
      </c>
      <c r="K172">
        <v>10</v>
      </c>
      <c r="M172" s="1">
        <v>50.81</v>
      </c>
      <c r="N172">
        <f t="shared" si="8"/>
        <v>31.024057377049179</v>
      </c>
      <c r="O172">
        <f t="shared" si="9"/>
        <v>962.49213613443953</v>
      </c>
      <c r="P172">
        <f>Таблица5[[#This Row],[Xi]]^2</f>
        <v>2581.6561000000002</v>
      </c>
      <c r="R172" s="3">
        <v>10</v>
      </c>
      <c r="S172">
        <f t="shared" si="10"/>
        <v>7.0017213114754098</v>
      </c>
      <c r="T172">
        <f t="shared" si="11"/>
        <v>49.024101323568935</v>
      </c>
      <c r="U172">
        <f>Таблица6[[#This Row],[Yi]]^2</f>
        <v>100</v>
      </c>
      <c r="W172">
        <f>Таблица5[[#This Row],[Xi]]*Таблица6[[#This Row],[Yi]]</f>
        <v>508.1</v>
      </c>
    </row>
    <row r="173" spans="1:23" x14ac:dyDescent="0.25">
      <c r="A173" t="s">
        <v>278</v>
      </c>
      <c r="B173" t="s">
        <v>279</v>
      </c>
      <c r="C173" t="s">
        <v>15</v>
      </c>
      <c r="D173" t="s">
        <v>115</v>
      </c>
      <c r="E173" t="s">
        <v>51</v>
      </c>
      <c r="F173" t="s">
        <v>12</v>
      </c>
      <c r="G173">
        <v>2</v>
      </c>
      <c r="J173">
        <v>15.81</v>
      </c>
      <c r="K173">
        <v>3.16</v>
      </c>
      <c r="M173" s="2">
        <v>15.81</v>
      </c>
      <c r="N173">
        <f t="shared" si="8"/>
        <v>-3.9759426229508232</v>
      </c>
      <c r="O173">
        <f t="shared" si="9"/>
        <v>15.808119740997071</v>
      </c>
      <c r="P173">
        <f>Таблица5[[#This Row],[Xi]]^2</f>
        <v>249.95610000000002</v>
      </c>
      <c r="R173" s="4">
        <v>3.16</v>
      </c>
      <c r="S173">
        <f t="shared" si="10"/>
        <v>0.16172131147540991</v>
      </c>
      <c r="T173">
        <f t="shared" si="11"/>
        <v>2.6153782585326552E-2</v>
      </c>
      <c r="U173">
        <f>Таблица6[[#This Row],[Yi]]^2</f>
        <v>9.9856000000000016</v>
      </c>
      <c r="W173">
        <f>Таблица5[[#This Row],[Xi]]*Таблица6[[#This Row],[Yi]]</f>
        <v>49.959600000000002</v>
      </c>
    </row>
    <row r="174" spans="1:23" x14ac:dyDescent="0.25">
      <c r="A174" t="s">
        <v>198</v>
      </c>
      <c r="B174" t="s">
        <v>280</v>
      </c>
      <c r="C174" t="s">
        <v>15</v>
      </c>
      <c r="D174" t="s">
        <v>115</v>
      </c>
      <c r="E174" t="s">
        <v>11</v>
      </c>
      <c r="F174" t="s">
        <v>12</v>
      </c>
      <c r="G174">
        <v>2</v>
      </c>
      <c r="J174">
        <v>7.25</v>
      </c>
      <c r="K174">
        <v>5.15</v>
      </c>
      <c r="M174" s="1">
        <v>7.25</v>
      </c>
      <c r="N174">
        <f t="shared" si="8"/>
        <v>-12.535942622950824</v>
      </c>
      <c r="O174">
        <f t="shared" si="9"/>
        <v>157.14985744591519</v>
      </c>
      <c r="P174">
        <f>Таблица5[[#This Row],[Xi]]^2</f>
        <v>52.5625</v>
      </c>
      <c r="R174" s="3">
        <v>5.15</v>
      </c>
      <c r="S174">
        <f t="shared" si="10"/>
        <v>2.1517213114754101</v>
      </c>
      <c r="T174">
        <f t="shared" si="11"/>
        <v>4.6299046022574588</v>
      </c>
      <c r="U174">
        <f>Таблица6[[#This Row],[Yi]]^2</f>
        <v>26.522500000000004</v>
      </c>
      <c r="W174">
        <f>Таблица5[[#This Row],[Xi]]*Таблица6[[#This Row],[Yi]]</f>
        <v>37.337500000000006</v>
      </c>
    </row>
    <row r="175" spans="1:23" x14ac:dyDescent="0.25">
      <c r="A175" t="s">
        <v>281</v>
      </c>
      <c r="B175" t="s">
        <v>61</v>
      </c>
      <c r="C175" t="s">
        <v>15</v>
      </c>
      <c r="D175" t="s">
        <v>115</v>
      </c>
      <c r="E175" t="s">
        <v>11</v>
      </c>
      <c r="F175" t="s">
        <v>12</v>
      </c>
      <c r="G175">
        <v>2</v>
      </c>
      <c r="J175">
        <v>31.85</v>
      </c>
      <c r="K175">
        <v>3.18</v>
      </c>
      <c r="M175" s="2">
        <v>31.85</v>
      </c>
      <c r="N175">
        <f t="shared" si="8"/>
        <v>12.064057377049178</v>
      </c>
      <c r="O175">
        <f t="shared" si="9"/>
        <v>145.5414803967347</v>
      </c>
      <c r="P175">
        <f>Таблица5[[#This Row],[Xi]]^2</f>
        <v>1014.4225000000001</v>
      </c>
      <c r="R175" s="4">
        <v>3.18</v>
      </c>
      <c r="S175">
        <f t="shared" si="10"/>
        <v>0.18172131147540993</v>
      </c>
      <c r="T175">
        <f t="shared" si="11"/>
        <v>3.3022635044342954E-2</v>
      </c>
      <c r="U175">
        <f>Таблица6[[#This Row],[Yi]]^2</f>
        <v>10.112400000000001</v>
      </c>
      <c r="W175">
        <f>Таблица5[[#This Row],[Xi]]*Таблица6[[#This Row],[Yi]]</f>
        <v>101.28300000000002</v>
      </c>
    </row>
    <row r="176" spans="1:23" x14ac:dyDescent="0.25">
      <c r="A176" t="s">
        <v>282</v>
      </c>
      <c r="B176" t="s">
        <v>150</v>
      </c>
      <c r="C176" t="s">
        <v>15</v>
      </c>
      <c r="D176" t="s">
        <v>115</v>
      </c>
      <c r="E176" t="s">
        <v>11</v>
      </c>
      <c r="F176" t="s">
        <v>12</v>
      </c>
      <c r="G176">
        <v>2</v>
      </c>
      <c r="J176">
        <v>16.82</v>
      </c>
      <c r="K176">
        <v>4</v>
      </c>
      <c r="M176" s="1">
        <v>16.82</v>
      </c>
      <c r="N176">
        <f t="shared" si="8"/>
        <v>-2.9659426229508234</v>
      </c>
      <c r="O176">
        <f t="shared" si="9"/>
        <v>8.7968156426364104</v>
      </c>
      <c r="P176">
        <f>Таблица5[[#This Row],[Xi]]^2</f>
        <v>282.91239999999999</v>
      </c>
      <c r="R176" s="3">
        <v>4</v>
      </c>
      <c r="S176">
        <f t="shared" si="10"/>
        <v>1.0017213114754098</v>
      </c>
      <c r="T176">
        <f t="shared" si="11"/>
        <v>1.003445585864015</v>
      </c>
      <c r="U176">
        <f>Таблица6[[#This Row],[Yi]]^2</f>
        <v>16</v>
      </c>
      <c r="W176">
        <f>Таблица5[[#This Row],[Xi]]*Таблица6[[#This Row],[Yi]]</f>
        <v>67.28</v>
      </c>
    </row>
    <row r="177" spans="1:23" x14ac:dyDescent="0.25">
      <c r="A177" t="s">
        <v>283</v>
      </c>
      <c r="B177" t="s">
        <v>284</v>
      </c>
      <c r="C177" t="s">
        <v>15</v>
      </c>
      <c r="D177" t="s">
        <v>115</v>
      </c>
      <c r="E177" t="s">
        <v>11</v>
      </c>
      <c r="F177" t="s">
        <v>12</v>
      </c>
      <c r="G177">
        <v>2</v>
      </c>
      <c r="J177">
        <v>32.9</v>
      </c>
      <c r="K177">
        <v>3.11</v>
      </c>
      <c r="M177" s="2">
        <v>32.9</v>
      </c>
      <c r="N177">
        <f t="shared" si="8"/>
        <v>13.114057377049175</v>
      </c>
      <c r="O177">
        <f t="shared" si="9"/>
        <v>171.97850088853789</v>
      </c>
      <c r="P177">
        <f>Таблица5[[#This Row],[Xi]]^2</f>
        <v>1082.4099999999999</v>
      </c>
      <c r="R177" s="4">
        <v>3.11</v>
      </c>
      <c r="S177">
        <f t="shared" si="10"/>
        <v>0.11172131147540965</v>
      </c>
      <c r="T177">
        <f t="shared" si="11"/>
        <v>1.2481651437785499E-2</v>
      </c>
      <c r="U177">
        <f>Таблица6[[#This Row],[Yi]]^2</f>
        <v>9.6720999999999986</v>
      </c>
      <c r="W177">
        <f>Таблица5[[#This Row],[Xi]]*Таблица6[[#This Row],[Yi]]</f>
        <v>102.31899999999999</v>
      </c>
    </row>
    <row r="178" spans="1:23" x14ac:dyDescent="0.25">
      <c r="A178" t="s">
        <v>285</v>
      </c>
      <c r="B178" t="s">
        <v>25</v>
      </c>
      <c r="C178" t="s">
        <v>15</v>
      </c>
      <c r="D178" t="s">
        <v>115</v>
      </c>
      <c r="E178" t="s">
        <v>11</v>
      </c>
      <c r="F178" t="s">
        <v>12</v>
      </c>
      <c r="G178">
        <v>2</v>
      </c>
      <c r="J178">
        <v>17.89</v>
      </c>
      <c r="K178">
        <v>2</v>
      </c>
      <c r="M178" s="1">
        <v>17.89</v>
      </c>
      <c r="N178">
        <f t="shared" si="8"/>
        <v>-1.8959426229508232</v>
      </c>
      <c r="O178">
        <f t="shared" si="9"/>
        <v>3.5945984295216471</v>
      </c>
      <c r="P178">
        <f>Таблица5[[#This Row],[Xi]]^2</f>
        <v>320.0521</v>
      </c>
      <c r="R178" s="3">
        <v>2</v>
      </c>
      <c r="S178">
        <f t="shared" si="10"/>
        <v>-0.99827868852459023</v>
      </c>
      <c r="T178">
        <f t="shared" si="11"/>
        <v>0.99656033996237581</v>
      </c>
      <c r="U178">
        <f>Таблица6[[#This Row],[Yi]]^2</f>
        <v>4</v>
      </c>
      <c r="W178">
        <f>Таблица5[[#This Row],[Xi]]*Таблица6[[#This Row],[Yi]]</f>
        <v>35.78</v>
      </c>
    </row>
    <row r="179" spans="1:23" x14ac:dyDescent="0.25">
      <c r="A179" t="s">
        <v>286</v>
      </c>
      <c r="B179" t="s">
        <v>25</v>
      </c>
      <c r="C179" t="s">
        <v>15</v>
      </c>
      <c r="D179" t="s">
        <v>115</v>
      </c>
      <c r="E179" t="s">
        <v>11</v>
      </c>
      <c r="F179" t="s">
        <v>12</v>
      </c>
      <c r="G179">
        <v>2</v>
      </c>
      <c r="J179">
        <v>14.48</v>
      </c>
      <c r="K179">
        <v>2</v>
      </c>
      <c r="M179" s="2">
        <v>14.48</v>
      </c>
      <c r="N179">
        <f t="shared" si="8"/>
        <v>-5.3059426229508233</v>
      </c>
      <c r="O179">
        <f t="shared" si="9"/>
        <v>28.153027118046264</v>
      </c>
      <c r="P179">
        <f>Таблица5[[#This Row],[Xi]]^2</f>
        <v>209.6704</v>
      </c>
      <c r="R179" s="4">
        <v>2</v>
      </c>
      <c r="S179">
        <f t="shared" si="10"/>
        <v>-0.99827868852459023</v>
      </c>
      <c r="T179">
        <f t="shared" si="11"/>
        <v>0.99656033996237581</v>
      </c>
      <c r="U179">
        <f>Таблица6[[#This Row],[Yi]]^2</f>
        <v>4</v>
      </c>
      <c r="W179">
        <f>Таблица5[[#This Row],[Xi]]*Таблица6[[#This Row],[Yi]]</f>
        <v>28.96</v>
      </c>
    </row>
    <row r="180" spans="1:23" x14ac:dyDescent="0.25">
      <c r="A180" t="s">
        <v>287</v>
      </c>
      <c r="B180" t="s">
        <v>150</v>
      </c>
      <c r="C180" t="s">
        <v>9</v>
      </c>
      <c r="D180" t="s">
        <v>115</v>
      </c>
      <c r="E180" t="s">
        <v>11</v>
      </c>
      <c r="F180" t="s">
        <v>12</v>
      </c>
      <c r="G180">
        <v>2</v>
      </c>
      <c r="J180">
        <v>9.6</v>
      </c>
      <c r="K180">
        <v>4</v>
      </c>
      <c r="M180" s="1">
        <v>9.6</v>
      </c>
      <c r="N180">
        <f t="shared" si="8"/>
        <v>-10.185942622950824</v>
      </c>
      <c r="O180">
        <f t="shared" si="9"/>
        <v>103.75342711804632</v>
      </c>
      <c r="P180">
        <f>Таблица5[[#This Row],[Xi]]^2</f>
        <v>92.16</v>
      </c>
      <c r="R180" s="3">
        <v>4</v>
      </c>
      <c r="S180">
        <f t="shared" si="10"/>
        <v>1.0017213114754098</v>
      </c>
      <c r="T180">
        <f t="shared" si="11"/>
        <v>1.003445585864015</v>
      </c>
      <c r="U180">
        <f>Таблица6[[#This Row],[Yi]]^2</f>
        <v>16</v>
      </c>
      <c r="W180">
        <f>Таблица5[[#This Row],[Xi]]*Таблица6[[#This Row],[Yi]]</f>
        <v>38.4</v>
      </c>
    </row>
    <row r="181" spans="1:23" x14ac:dyDescent="0.25">
      <c r="A181" t="s">
        <v>288</v>
      </c>
      <c r="B181" t="s">
        <v>289</v>
      </c>
      <c r="C181" t="s">
        <v>15</v>
      </c>
      <c r="D181" t="s">
        <v>115</v>
      </c>
      <c r="E181" t="s">
        <v>11</v>
      </c>
      <c r="F181" t="s">
        <v>12</v>
      </c>
      <c r="G181">
        <v>2</v>
      </c>
      <c r="J181">
        <v>34.630000000000003</v>
      </c>
      <c r="K181">
        <v>3.55</v>
      </c>
      <c r="M181" s="2">
        <v>34.630000000000003</v>
      </c>
      <c r="N181">
        <f t="shared" si="8"/>
        <v>14.844057377049179</v>
      </c>
      <c r="O181">
        <f t="shared" si="9"/>
        <v>220.34603941312815</v>
      </c>
      <c r="P181">
        <f>Таблица5[[#This Row],[Xi]]^2</f>
        <v>1199.2369000000001</v>
      </c>
      <c r="R181" s="4">
        <v>3.55</v>
      </c>
      <c r="S181">
        <f t="shared" si="10"/>
        <v>0.55172131147540959</v>
      </c>
      <c r="T181">
        <f t="shared" si="11"/>
        <v>0.30439640553614594</v>
      </c>
      <c r="U181">
        <f>Таблица6[[#This Row],[Yi]]^2</f>
        <v>12.602499999999999</v>
      </c>
      <c r="W181">
        <f>Таблица5[[#This Row],[Xi]]*Таблица6[[#This Row],[Yi]]</f>
        <v>122.93650000000001</v>
      </c>
    </row>
    <row r="182" spans="1:23" x14ac:dyDescent="0.25">
      <c r="A182" t="s">
        <v>290</v>
      </c>
      <c r="B182" t="s">
        <v>291</v>
      </c>
      <c r="C182" t="s">
        <v>15</v>
      </c>
      <c r="D182" t="s">
        <v>115</v>
      </c>
      <c r="E182" t="s">
        <v>11</v>
      </c>
      <c r="F182" t="s">
        <v>12</v>
      </c>
      <c r="G182">
        <v>4</v>
      </c>
      <c r="J182">
        <v>34.65</v>
      </c>
      <c r="K182">
        <v>3.68</v>
      </c>
      <c r="M182" s="1">
        <v>34.65</v>
      </c>
      <c r="N182">
        <f t="shared" si="8"/>
        <v>14.864057377049175</v>
      </c>
      <c r="O182">
        <f t="shared" si="9"/>
        <v>220.94020170821</v>
      </c>
      <c r="P182">
        <f>Таблица5[[#This Row],[Xi]]^2</f>
        <v>1200.6224999999999</v>
      </c>
      <c r="R182" s="3">
        <v>3.68</v>
      </c>
      <c r="S182">
        <f t="shared" si="10"/>
        <v>0.68172131147540993</v>
      </c>
      <c r="T182">
        <f t="shared" si="11"/>
        <v>0.46474394651975287</v>
      </c>
      <c r="U182">
        <f>Таблица6[[#This Row],[Yi]]^2</f>
        <v>13.542400000000001</v>
      </c>
      <c r="W182">
        <f>Таблица5[[#This Row],[Xi]]*Таблица6[[#This Row],[Yi]]</f>
        <v>127.512</v>
      </c>
    </row>
    <row r="183" spans="1:23" x14ac:dyDescent="0.25">
      <c r="A183" t="s">
        <v>292</v>
      </c>
      <c r="B183" t="s">
        <v>293</v>
      </c>
      <c r="C183" t="s">
        <v>15</v>
      </c>
      <c r="D183" t="s">
        <v>115</v>
      </c>
      <c r="E183" t="s">
        <v>11</v>
      </c>
      <c r="F183" t="s">
        <v>12</v>
      </c>
      <c r="G183">
        <v>2</v>
      </c>
      <c r="J183">
        <v>23.33</v>
      </c>
      <c r="K183">
        <v>5.65</v>
      </c>
      <c r="M183" s="2">
        <v>23.33</v>
      </c>
      <c r="N183">
        <f t="shared" si="8"/>
        <v>3.5440573770491746</v>
      </c>
      <c r="O183">
        <f t="shared" si="9"/>
        <v>12.560342691816675</v>
      </c>
      <c r="P183">
        <f>Таблица5[[#This Row],[Xi]]^2</f>
        <v>544.2888999999999</v>
      </c>
      <c r="R183" s="4">
        <v>5.65</v>
      </c>
      <c r="S183">
        <f t="shared" si="10"/>
        <v>2.6517213114754101</v>
      </c>
      <c r="T183">
        <f t="shared" si="11"/>
        <v>7.0316259137328689</v>
      </c>
      <c r="U183">
        <f>Таблица6[[#This Row],[Yi]]^2</f>
        <v>31.922500000000003</v>
      </c>
      <c r="W183">
        <f>Таблица5[[#This Row],[Xi]]*Таблица6[[#This Row],[Yi]]</f>
        <v>131.81450000000001</v>
      </c>
    </row>
    <row r="184" spans="1:23" x14ac:dyDescent="0.25">
      <c r="A184" t="s">
        <v>294</v>
      </c>
      <c r="B184" t="s">
        <v>17</v>
      </c>
      <c r="C184" t="s">
        <v>15</v>
      </c>
      <c r="D184" t="s">
        <v>115</v>
      </c>
      <c r="E184" t="s">
        <v>11</v>
      </c>
      <c r="F184" t="s">
        <v>12</v>
      </c>
      <c r="G184">
        <v>3</v>
      </c>
      <c r="J184">
        <v>45.35</v>
      </c>
      <c r="K184">
        <v>3.5</v>
      </c>
      <c r="M184" s="1">
        <v>45.35</v>
      </c>
      <c r="N184">
        <f t="shared" si="8"/>
        <v>25.564057377049178</v>
      </c>
      <c r="O184">
        <f t="shared" si="9"/>
        <v>653.52102957706245</v>
      </c>
      <c r="P184">
        <f>Таблица5[[#This Row],[Xi]]^2</f>
        <v>2056.6224999999999</v>
      </c>
      <c r="R184" s="3">
        <v>3.5</v>
      </c>
      <c r="S184">
        <f t="shared" si="10"/>
        <v>0.50172131147540977</v>
      </c>
      <c r="T184">
        <f t="shared" si="11"/>
        <v>0.25172427438860517</v>
      </c>
      <c r="U184">
        <f>Таблица6[[#This Row],[Yi]]^2</f>
        <v>12.25</v>
      </c>
      <c r="W184">
        <f>Таблица5[[#This Row],[Xi]]*Таблица6[[#This Row],[Yi]]</f>
        <v>158.72499999999999</v>
      </c>
    </row>
    <row r="185" spans="1:23" x14ac:dyDescent="0.25">
      <c r="A185" t="s">
        <v>295</v>
      </c>
      <c r="B185" t="s">
        <v>296</v>
      </c>
      <c r="C185" t="s">
        <v>15</v>
      </c>
      <c r="D185" t="s">
        <v>115</v>
      </c>
      <c r="E185" t="s">
        <v>11</v>
      </c>
      <c r="F185" t="s">
        <v>12</v>
      </c>
      <c r="G185">
        <v>4</v>
      </c>
      <c r="J185">
        <v>23.17</v>
      </c>
      <c r="K185">
        <v>6.5</v>
      </c>
      <c r="M185" s="2">
        <v>23.17</v>
      </c>
      <c r="N185">
        <f t="shared" si="8"/>
        <v>3.384057377049178</v>
      </c>
      <c r="O185">
        <f t="shared" si="9"/>
        <v>11.451844331160963</v>
      </c>
      <c r="P185">
        <f>Таблица5[[#This Row],[Xi]]^2</f>
        <v>536.84890000000007</v>
      </c>
      <c r="R185" s="4">
        <v>6.5</v>
      </c>
      <c r="S185">
        <f t="shared" si="10"/>
        <v>3.5017213114754098</v>
      </c>
      <c r="T185">
        <f t="shared" si="11"/>
        <v>12.262052143241064</v>
      </c>
      <c r="U185">
        <f>Таблица6[[#This Row],[Yi]]^2</f>
        <v>42.25</v>
      </c>
      <c r="W185">
        <f>Таблица5[[#This Row],[Xi]]*Таблица6[[#This Row],[Yi]]</f>
        <v>150.60500000000002</v>
      </c>
    </row>
    <row r="186" spans="1:23" x14ac:dyDescent="0.25">
      <c r="A186" t="s">
        <v>297</v>
      </c>
      <c r="B186" t="s">
        <v>39</v>
      </c>
      <c r="C186" t="s">
        <v>15</v>
      </c>
      <c r="D186" t="s">
        <v>115</v>
      </c>
      <c r="E186" t="s">
        <v>11</v>
      </c>
      <c r="F186" t="s">
        <v>12</v>
      </c>
      <c r="G186">
        <v>2</v>
      </c>
      <c r="J186">
        <v>40.549999999999997</v>
      </c>
      <c r="K186">
        <v>3</v>
      </c>
      <c r="M186" s="1">
        <v>40.549999999999997</v>
      </c>
      <c r="N186">
        <f t="shared" si="8"/>
        <v>20.764057377049173</v>
      </c>
      <c r="O186">
        <f t="shared" si="9"/>
        <v>431.14607875739023</v>
      </c>
      <c r="P186">
        <f>Таблица5[[#This Row],[Xi]]^2</f>
        <v>1644.3024999999998</v>
      </c>
      <c r="R186" s="3">
        <v>3</v>
      </c>
      <c r="S186">
        <f t="shared" si="10"/>
        <v>1.7213114754097703E-3</v>
      </c>
      <c r="T186">
        <f t="shared" si="11"/>
        <v>2.9629131953773601E-6</v>
      </c>
      <c r="U186">
        <f>Таблица6[[#This Row],[Yi]]^2</f>
        <v>9</v>
      </c>
      <c r="W186">
        <f>Таблица5[[#This Row],[Xi]]*Таблица6[[#This Row],[Yi]]</f>
        <v>121.64999999999999</v>
      </c>
    </row>
    <row r="187" spans="1:23" x14ac:dyDescent="0.25">
      <c r="A187" t="s">
        <v>74</v>
      </c>
      <c r="B187" t="s">
        <v>35</v>
      </c>
      <c r="C187" t="s">
        <v>15</v>
      </c>
      <c r="D187" t="s">
        <v>10</v>
      </c>
      <c r="E187" t="s">
        <v>11</v>
      </c>
      <c r="F187" t="s">
        <v>12</v>
      </c>
      <c r="G187">
        <v>5</v>
      </c>
      <c r="J187">
        <v>20.69</v>
      </c>
      <c r="K187">
        <v>5</v>
      </c>
      <c r="M187" s="2">
        <v>20.69</v>
      </c>
      <c r="N187">
        <f t="shared" si="8"/>
        <v>0.90405737704917755</v>
      </c>
      <c r="O187">
        <f t="shared" si="9"/>
        <v>0.81731974099703875</v>
      </c>
      <c r="P187">
        <f>Таблица5[[#This Row],[Xi]]^2</f>
        <v>428.07610000000005</v>
      </c>
      <c r="R187" s="4">
        <v>5</v>
      </c>
      <c r="S187">
        <f t="shared" si="10"/>
        <v>2.0017213114754098</v>
      </c>
      <c r="T187">
        <f t="shared" si="11"/>
        <v>4.0068882088148348</v>
      </c>
      <c r="U187">
        <f>Таблица6[[#This Row],[Yi]]^2</f>
        <v>25</v>
      </c>
      <c r="W187">
        <f>Таблица5[[#This Row],[Xi]]*Таблица6[[#This Row],[Yi]]</f>
        <v>103.45</v>
      </c>
    </row>
    <row r="188" spans="1:23" x14ac:dyDescent="0.25">
      <c r="A188" t="s">
        <v>298</v>
      </c>
      <c r="B188" t="s">
        <v>17</v>
      </c>
      <c r="C188" t="s">
        <v>9</v>
      </c>
      <c r="D188" t="s">
        <v>115</v>
      </c>
      <c r="E188" t="s">
        <v>11</v>
      </c>
      <c r="F188" t="s">
        <v>12</v>
      </c>
      <c r="G188">
        <v>3</v>
      </c>
      <c r="J188">
        <v>20.9</v>
      </c>
      <c r="K188">
        <v>3.5</v>
      </c>
      <c r="M188" s="1">
        <v>20.9</v>
      </c>
      <c r="N188">
        <f t="shared" si="8"/>
        <v>1.1140573770491748</v>
      </c>
      <c r="O188">
        <f t="shared" si="9"/>
        <v>1.2411238393576873</v>
      </c>
      <c r="P188">
        <f>Таблица5[[#This Row],[Xi]]^2</f>
        <v>436.80999999999995</v>
      </c>
      <c r="R188" s="3">
        <v>3.5</v>
      </c>
      <c r="S188">
        <f t="shared" si="10"/>
        <v>0.50172131147540977</v>
      </c>
      <c r="T188">
        <f t="shared" si="11"/>
        <v>0.25172427438860517</v>
      </c>
      <c r="U188">
        <f>Таблица6[[#This Row],[Yi]]^2</f>
        <v>12.25</v>
      </c>
      <c r="W188">
        <f>Таблица5[[#This Row],[Xi]]*Таблица6[[#This Row],[Yi]]</f>
        <v>73.149999999999991</v>
      </c>
    </row>
    <row r="189" spans="1:23" x14ac:dyDescent="0.25">
      <c r="A189" t="s">
        <v>299</v>
      </c>
      <c r="B189" t="s">
        <v>25</v>
      </c>
      <c r="C189" t="s">
        <v>15</v>
      </c>
      <c r="D189" t="s">
        <v>115</v>
      </c>
      <c r="E189" t="s">
        <v>11</v>
      </c>
      <c r="F189" t="s">
        <v>12</v>
      </c>
      <c r="G189">
        <v>5</v>
      </c>
      <c r="J189">
        <v>30.46</v>
      </c>
      <c r="K189">
        <v>2</v>
      </c>
      <c r="M189" s="2">
        <v>30.46</v>
      </c>
      <c r="N189">
        <f t="shared" si="8"/>
        <v>10.674057377049177</v>
      </c>
      <c r="O189">
        <f t="shared" si="9"/>
        <v>113.93550088853796</v>
      </c>
      <c r="P189">
        <f>Таблица5[[#This Row],[Xi]]^2</f>
        <v>927.8116</v>
      </c>
      <c r="R189" s="4">
        <v>2</v>
      </c>
      <c r="S189">
        <f t="shared" si="10"/>
        <v>-0.99827868852459023</v>
      </c>
      <c r="T189">
        <f t="shared" si="11"/>
        <v>0.99656033996237581</v>
      </c>
      <c r="U189">
        <f>Таблица6[[#This Row],[Yi]]^2</f>
        <v>4</v>
      </c>
      <c r="W189">
        <f>Таблица5[[#This Row],[Xi]]*Таблица6[[#This Row],[Yi]]</f>
        <v>60.92</v>
      </c>
    </row>
    <row r="190" spans="1:23" x14ac:dyDescent="0.25">
      <c r="A190" t="s">
        <v>300</v>
      </c>
      <c r="B190" t="s">
        <v>17</v>
      </c>
      <c r="C190" t="s">
        <v>9</v>
      </c>
      <c r="D190" t="s">
        <v>115</v>
      </c>
      <c r="E190" t="s">
        <v>11</v>
      </c>
      <c r="F190" t="s">
        <v>12</v>
      </c>
      <c r="G190">
        <v>3</v>
      </c>
      <c r="J190">
        <v>18.149999999999999</v>
      </c>
      <c r="K190">
        <v>3.5</v>
      </c>
      <c r="M190" s="1">
        <v>18.149999999999999</v>
      </c>
      <c r="N190">
        <f t="shared" si="8"/>
        <v>-1.6359426229508252</v>
      </c>
      <c r="O190">
        <f t="shared" si="9"/>
        <v>2.6763082655872257</v>
      </c>
      <c r="P190">
        <f>Таблица5[[#This Row],[Xi]]^2</f>
        <v>329.42249999999996</v>
      </c>
      <c r="R190" s="3">
        <v>3.5</v>
      </c>
      <c r="S190">
        <f t="shared" si="10"/>
        <v>0.50172131147540977</v>
      </c>
      <c r="T190">
        <f t="shared" si="11"/>
        <v>0.25172427438860517</v>
      </c>
      <c r="U190">
        <f>Таблица6[[#This Row],[Yi]]^2</f>
        <v>12.25</v>
      </c>
      <c r="W190">
        <f>Таблица5[[#This Row],[Xi]]*Таблица6[[#This Row],[Yi]]</f>
        <v>63.524999999999991</v>
      </c>
    </row>
    <row r="191" spans="1:23" x14ac:dyDescent="0.25">
      <c r="A191" t="s">
        <v>301</v>
      </c>
      <c r="B191" t="s">
        <v>150</v>
      </c>
      <c r="C191" t="s">
        <v>15</v>
      </c>
      <c r="D191" t="s">
        <v>115</v>
      </c>
      <c r="E191" t="s">
        <v>11</v>
      </c>
      <c r="F191" t="s">
        <v>12</v>
      </c>
      <c r="G191">
        <v>3</v>
      </c>
      <c r="J191">
        <v>23.1</v>
      </c>
      <c r="K191">
        <v>4</v>
      </c>
      <c r="M191" s="2">
        <v>23.1</v>
      </c>
      <c r="N191">
        <f t="shared" si="8"/>
        <v>3.3140573770491777</v>
      </c>
      <c r="O191">
        <f t="shared" si="9"/>
        <v>10.982976298374075</v>
      </c>
      <c r="P191">
        <f>Таблица5[[#This Row],[Xi]]^2</f>
        <v>533.61</v>
      </c>
      <c r="R191" s="4">
        <v>4</v>
      </c>
      <c r="S191">
        <f t="shared" si="10"/>
        <v>1.0017213114754098</v>
      </c>
      <c r="T191">
        <f t="shared" si="11"/>
        <v>1.003445585864015</v>
      </c>
      <c r="U191">
        <f>Таблица6[[#This Row],[Yi]]^2</f>
        <v>16</v>
      </c>
      <c r="W191">
        <f>Таблица5[[#This Row],[Xi]]*Таблица6[[#This Row],[Yi]]</f>
        <v>92.4</v>
      </c>
    </row>
    <row r="192" spans="1:23" x14ac:dyDescent="0.25">
      <c r="A192" t="s">
        <v>302</v>
      </c>
      <c r="B192" t="s">
        <v>117</v>
      </c>
      <c r="C192" t="s">
        <v>15</v>
      </c>
      <c r="D192" t="s">
        <v>115</v>
      </c>
      <c r="E192" t="s">
        <v>11</v>
      </c>
      <c r="F192" t="s">
        <v>12</v>
      </c>
      <c r="G192">
        <v>2</v>
      </c>
      <c r="J192">
        <v>15.69</v>
      </c>
      <c r="K192">
        <v>1.5</v>
      </c>
      <c r="M192" s="1">
        <v>15.69</v>
      </c>
      <c r="N192">
        <f t="shared" si="8"/>
        <v>-4.0959426229508242</v>
      </c>
      <c r="O192">
        <f t="shared" si="9"/>
        <v>16.776745970505278</v>
      </c>
      <c r="P192">
        <f>Таблица5[[#This Row],[Xi]]^2</f>
        <v>246.17609999999999</v>
      </c>
      <c r="R192" s="3">
        <v>1.5</v>
      </c>
      <c r="S192">
        <f t="shared" si="10"/>
        <v>-1.4982786885245902</v>
      </c>
      <c r="T192">
        <f t="shared" si="11"/>
        <v>2.2448390284869659</v>
      </c>
      <c r="U192">
        <f>Таблица6[[#This Row],[Yi]]^2</f>
        <v>2.25</v>
      </c>
      <c r="W192">
        <f>Таблица5[[#This Row],[Xi]]*Таблица6[[#This Row],[Yi]]</f>
        <v>23.535</v>
      </c>
    </row>
    <row r="193" spans="1:23" x14ac:dyDescent="0.25">
      <c r="A193" t="s">
        <v>303</v>
      </c>
      <c r="B193" t="s">
        <v>304</v>
      </c>
      <c r="C193" t="s">
        <v>9</v>
      </c>
      <c r="D193" t="s">
        <v>115</v>
      </c>
      <c r="E193" t="s">
        <v>151</v>
      </c>
      <c r="F193" t="s">
        <v>152</v>
      </c>
      <c r="G193">
        <v>2</v>
      </c>
      <c r="J193">
        <v>19.809999999999999</v>
      </c>
      <c r="K193">
        <v>4.1900000000000004</v>
      </c>
      <c r="M193" s="2">
        <v>19.809999999999999</v>
      </c>
      <c r="N193">
        <f t="shared" si="8"/>
        <v>2.4057377049174988E-2</v>
      </c>
      <c r="O193">
        <f t="shared" si="9"/>
        <v>5.7875739048617145E-4</v>
      </c>
      <c r="P193">
        <f>Таблица5[[#This Row],[Xi]]^2</f>
        <v>392.43609999999995</v>
      </c>
      <c r="R193" s="4">
        <v>4.1900000000000004</v>
      </c>
      <c r="S193">
        <f t="shared" si="10"/>
        <v>1.1917213114754102</v>
      </c>
      <c r="T193">
        <f t="shared" si="11"/>
        <v>1.4201996842246716</v>
      </c>
      <c r="U193">
        <f>Таблица6[[#This Row],[Yi]]^2</f>
        <v>17.556100000000004</v>
      </c>
      <c r="W193">
        <f>Таблица5[[#This Row],[Xi]]*Таблица6[[#This Row],[Yi]]</f>
        <v>83.003900000000002</v>
      </c>
    </row>
    <row r="194" spans="1:23" x14ac:dyDescent="0.25">
      <c r="A194" t="s">
        <v>305</v>
      </c>
      <c r="B194" t="s">
        <v>306</v>
      </c>
      <c r="C194" t="s">
        <v>15</v>
      </c>
      <c r="D194" t="s">
        <v>115</v>
      </c>
      <c r="E194" t="s">
        <v>151</v>
      </c>
      <c r="F194" t="s">
        <v>152</v>
      </c>
      <c r="G194">
        <v>2</v>
      </c>
      <c r="J194">
        <v>28.44</v>
      </c>
      <c r="K194">
        <v>2.56</v>
      </c>
      <c r="M194" s="1">
        <v>28.44</v>
      </c>
      <c r="N194">
        <f t="shared" si="8"/>
        <v>8.6540573770491775</v>
      </c>
      <c r="O194">
        <f t="shared" si="9"/>
        <v>74.892709085259284</v>
      </c>
      <c r="P194">
        <f>Таблица5[[#This Row],[Xi]]^2</f>
        <v>808.83360000000005</v>
      </c>
      <c r="R194" s="3">
        <v>2.56</v>
      </c>
      <c r="S194">
        <f t="shared" si="10"/>
        <v>-0.43827868852459018</v>
      </c>
      <c r="T194">
        <f t="shared" si="11"/>
        <v>0.19208820881483474</v>
      </c>
      <c r="U194">
        <f>Таблица6[[#This Row],[Yi]]^2</f>
        <v>6.5536000000000003</v>
      </c>
      <c r="W194">
        <f>Таблица5[[#This Row],[Xi]]*Таблица6[[#This Row],[Yi]]</f>
        <v>72.806400000000011</v>
      </c>
    </row>
    <row r="195" spans="1:23" x14ac:dyDescent="0.25">
      <c r="A195" t="s">
        <v>307</v>
      </c>
      <c r="B195" t="s">
        <v>308</v>
      </c>
      <c r="C195" t="s">
        <v>15</v>
      </c>
      <c r="D195" t="s">
        <v>115</v>
      </c>
      <c r="E195" t="s">
        <v>151</v>
      </c>
      <c r="F195" t="s">
        <v>152</v>
      </c>
      <c r="G195">
        <v>2</v>
      </c>
      <c r="J195">
        <v>15.48</v>
      </c>
      <c r="K195">
        <v>2.02</v>
      </c>
      <c r="M195" s="2">
        <v>15.48</v>
      </c>
      <c r="N195">
        <f t="shared" ref="N195:N245" si="12">M195-$J$247</f>
        <v>-4.3059426229508233</v>
      </c>
      <c r="O195">
        <f t="shared" ref="O195:O245" si="13">N195^2</f>
        <v>18.541141872144618</v>
      </c>
      <c r="P195">
        <f>Таблица5[[#This Row],[Xi]]^2</f>
        <v>239.63040000000001</v>
      </c>
      <c r="R195" s="4">
        <v>2.02</v>
      </c>
      <c r="S195">
        <f t="shared" ref="S195:S245" si="14">R195-$J$248</f>
        <v>-0.97827868852459021</v>
      </c>
      <c r="T195">
        <f t="shared" ref="T195:T245" si="15">S195^2</f>
        <v>0.95702919242139217</v>
      </c>
      <c r="U195">
        <f>Таблица6[[#This Row],[Yi]]^2</f>
        <v>4.0804</v>
      </c>
      <c r="W195">
        <f>Таблица5[[#This Row],[Xi]]*Таблица6[[#This Row],[Yi]]</f>
        <v>31.269600000000001</v>
      </c>
    </row>
    <row r="196" spans="1:23" x14ac:dyDescent="0.25">
      <c r="A196" t="s">
        <v>309</v>
      </c>
      <c r="B196" t="s">
        <v>150</v>
      </c>
      <c r="C196" t="s">
        <v>15</v>
      </c>
      <c r="D196" t="s">
        <v>115</v>
      </c>
      <c r="E196" t="s">
        <v>151</v>
      </c>
      <c r="F196" t="s">
        <v>152</v>
      </c>
      <c r="G196">
        <v>2</v>
      </c>
      <c r="J196">
        <v>16.579999999999998</v>
      </c>
      <c r="K196">
        <v>4</v>
      </c>
      <c r="M196" s="1">
        <v>16.579999999999998</v>
      </c>
      <c r="N196">
        <f t="shared" si="12"/>
        <v>-3.2059426229508254</v>
      </c>
      <c r="O196">
        <f t="shared" si="13"/>
        <v>10.278068101652819</v>
      </c>
      <c r="P196">
        <f>Таблица5[[#This Row],[Xi]]^2</f>
        <v>274.89639999999997</v>
      </c>
      <c r="R196" s="3">
        <v>4</v>
      </c>
      <c r="S196">
        <f t="shared" si="14"/>
        <v>1.0017213114754098</v>
      </c>
      <c r="T196">
        <f t="shared" si="15"/>
        <v>1.003445585864015</v>
      </c>
      <c r="U196">
        <f>Таблица6[[#This Row],[Yi]]^2</f>
        <v>16</v>
      </c>
      <c r="W196">
        <f>Таблица5[[#This Row],[Xi]]*Таблица6[[#This Row],[Yi]]</f>
        <v>66.319999999999993</v>
      </c>
    </row>
    <row r="197" spans="1:23" x14ac:dyDescent="0.25">
      <c r="A197" t="s">
        <v>310</v>
      </c>
      <c r="B197" t="s">
        <v>311</v>
      </c>
      <c r="C197" t="s">
        <v>15</v>
      </c>
      <c r="D197" t="s">
        <v>10</v>
      </c>
      <c r="E197" t="s">
        <v>151</v>
      </c>
      <c r="F197" t="s">
        <v>152</v>
      </c>
      <c r="G197">
        <v>2</v>
      </c>
      <c r="J197">
        <v>7.56</v>
      </c>
      <c r="K197">
        <v>1.44</v>
      </c>
      <c r="M197" s="2">
        <v>7.56</v>
      </c>
      <c r="N197">
        <f t="shared" si="12"/>
        <v>-12.225942622950825</v>
      </c>
      <c r="O197">
        <f t="shared" si="13"/>
        <v>149.47367301968569</v>
      </c>
      <c r="P197">
        <f>Таблица5[[#This Row],[Xi]]^2</f>
        <v>57.153599999999997</v>
      </c>
      <c r="R197" s="4">
        <v>1.44</v>
      </c>
      <c r="S197">
        <f t="shared" si="14"/>
        <v>-1.5582786885245903</v>
      </c>
      <c r="T197">
        <f t="shared" si="15"/>
        <v>2.4282324711099172</v>
      </c>
      <c r="U197">
        <f>Таблица6[[#This Row],[Yi]]^2</f>
        <v>2.0735999999999999</v>
      </c>
      <c r="W197">
        <f>Таблица5[[#This Row],[Xi]]*Таблица6[[#This Row],[Yi]]</f>
        <v>10.886399999999998</v>
      </c>
    </row>
    <row r="198" spans="1:23" x14ac:dyDescent="0.25">
      <c r="A198" t="s">
        <v>13</v>
      </c>
      <c r="B198" t="s">
        <v>25</v>
      </c>
      <c r="C198" t="s">
        <v>15</v>
      </c>
      <c r="D198" t="s">
        <v>115</v>
      </c>
      <c r="E198" t="s">
        <v>151</v>
      </c>
      <c r="F198" t="s">
        <v>152</v>
      </c>
      <c r="G198">
        <v>2</v>
      </c>
      <c r="J198">
        <v>10.34</v>
      </c>
      <c r="K198">
        <v>2</v>
      </c>
      <c r="M198" s="1">
        <v>10.34</v>
      </c>
      <c r="N198">
        <f t="shared" si="12"/>
        <v>-9.4459426229508239</v>
      </c>
      <c r="O198">
        <f t="shared" si="13"/>
        <v>89.225832036079083</v>
      </c>
      <c r="P198">
        <f>Таблица5[[#This Row],[Xi]]^2</f>
        <v>106.9156</v>
      </c>
      <c r="R198" s="3">
        <v>2</v>
      </c>
      <c r="S198">
        <f t="shared" si="14"/>
        <v>-0.99827868852459023</v>
      </c>
      <c r="T198">
        <f t="shared" si="15"/>
        <v>0.99656033996237581</v>
      </c>
      <c r="U198">
        <f>Таблица6[[#This Row],[Yi]]^2</f>
        <v>4</v>
      </c>
      <c r="W198">
        <f>Таблица5[[#This Row],[Xi]]*Таблица6[[#This Row],[Yi]]</f>
        <v>20.68</v>
      </c>
    </row>
    <row r="199" spans="1:23" x14ac:dyDescent="0.25">
      <c r="A199" t="s">
        <v>312</v>
      </c>
      <c r="B199" t="s">
        <v>35</v>
      </c>
      <c r="C199" t="s">
        <v>9</v>
      </c>
      <c r="D199" t="s">
        <v>115</v>
      </c>
      <c r="E199" t="s">
        <v>151</v>
      </c>
      <c r="F199" t="s">
        <v>152</v>
      </c>
      <c r="G199">
        <v>4</v>
      </c>
      <c r="J199">
        <v>43.11</v>
      </c>
      <c r="K199">
        <v>5</v>
      </c>
      <c r="M199" s="2">
        <v>43.11</v>
      </c>
      <c r="N199">
        <f t="shared" si="12"/>
        <v>23.324057377049176</v>
      </c>
      <c r="O199">
        <f t="shared" si="13"/>
        <v>544.01165252788212</v>
      </c>
      <c r="P199">
        <f>Таблица5[[#This Row],[Xi]]^2</f>
        <v>1858.4721</v>
      </c>
      <c r="R199" s="4">
        <v>5</v>
      </c>
      <c r="S199">
        <f t="shared" si="14"/>
        <v>2.0017213114754098</v>
      </c>
      <c r="T199">
        <f t="shared" si="15"/>
        <v>4.0068882088148348</v>
      </c>
      <c r="U199">
        <f>Таблица6[[#This Row],[Yi]]^2</f>
        <v>25</v>
      </c>
      <c r="W199">
        <f>Таблица5[[#This Row],[Xi]]*Таблица6[[#This Row],[Yi]]</f>
        <v>215.55</v>
      </c>
    </row>
    <row r="200" spans="1:23" x14ac:dyDescent="0.25">
      <c r="A200" t="s">
        <v>313</v>
      </c>
      <c r="B200" t="s">
        <v>25</v>
      </c>
      <c r="C200" t="s">
        <v>9</v>
      </c>
      <c r="D200" t="s">
        <v>115</v>
      </c>
      <c r="E200" t="s">
        <v>151</v>
      </c>
      <c r="F200" t="s">
        <v>152</v>
      </c>
      <c r="G200">
        <v>2</v>
      </c>
      <c r="J200">
        <v>13</v>
      </c>
      <c r="K200">
        <v>2</v>
      </c>
      <c r="M200" s="1">
        <v>13</v>
      </c>
      <c r="N200">
        <f t="shared" si="12"/>
        <v>-6.7859426229508237</v>
      </c>
      <c r="O200">
        <f t="shared" si="13"/>
        <v>46.049017281980703</v>
      </c>
      <c r="P200">
        <f>Таблица5[[#This Row],[Xi]]^2</f>
        <v>169</v>
      </c>
      <c r="R200" s="3">
        <v>2</v>
      </c>
      <c r="S200">
        <f t="shared" si="14"/>
        <v>-0.99827868852459023</v>
      </c>
      <c r="T200">
        <f t="shared" si="15"/>
        <v>0.99656033996237581</v>
      </c>
      <c r="U200">
        <f>Таблица6[[#This Row],[Yi]]^2</f>
        <v>4</v>
      </c>
      <c r="W200">
        <f>Таблица5[[#This Row],[Xi]]*Таблица6[[#This Row],[Yi]]</f>
        <v>26</v>
      </c>
    </row>
    <row r="201" spans="1:23" x14ac:dyDescent="0.25">
      <c r="A201" t="s">
        <v>314</v>
      </c>
      <c r="B201" t="s">
        <v>25</v>
      </c>
      <c r="C201" t="s">
        <v>15</v>
      </c>
      <c r="D201" t="s">
        <v>115</v>
      </c>
      <c r="E201" t="s">
        <v>151</v>
      </c>
      <c r="F201" t="s">
        <v>152</v>
      </c>
      <c r="G201">
        <v>2</v>
      </c>
      <c r="J201">
        <v>13.51</v>
      </c>
      <c r="K201">
        <v>2</v>
      </c>
      <c r="M201" s="2">
        <v>13.51</v>
      </c>
      <c r="N201">
        <f t="shared" si="12"/>
        <v>-6.2759426229508239</v>
      </c>
      <c r="O201">
        <f t="shared" si="13"/>
        <v>39.38745580657087</v>
      </c>
      <c r="P201">
        <f>Таблица5[[#This Row],[Xi]]^2</f>
        <v>182.52009999999999</v>
      </c>
      <c r="R201" s="4">
        <v>2</v>
      </c>
      <c r="S201">
        <f t="shared" si="14"/>
        <v>-0.99827868852459023</v>
      </c>
      <c r="T201">
        <f t="shared" si="15"/>
        <v>0.99656033996237581</v>
      </c>
      <c r="U201">
        <f>Таблица6[[#This Row],[Yi]]^2</f>
        <v>4</v>
      </c>
      <c r="W201">
        <f>Таблица5[[#This Row],[Xi]]*Таблица6[[#This Row],[Yi]]</f>
        <v>27.02</v>
      </c>
    </row>
    <row r="202" spans="1:23" x14ac:dyDescent="0.25">
      <c r="A202" t="s">
        <v>315</v>
      </c>
      <c r="B202" t="s">
        <v>150</v>
      </c>
      <c r="C202" t="s">
        <v>15</v>
      </c>
      <c r="D202" t="s">
        <v>115</v>
      </c>
      <c r="E202" t="s">
        <v>151</v>
      </c>
      <c r="F202" t="s">
        <v>152</v>
      </c>
      <c r="G202">
        <v>3</v>
      </c>
      <c r="J202">
        <v>18.71</v>
      </c>
      <c r="K202">
        <v>4</v>
      </c>
      <c r="M202" s="1">
        <v>18.71</v>
      </c>
      <c r="N202">
        <f t="shared" si="12"/>
        <v>-1.0759426229508229</v>
      </c>
      <c r="O202">
        <f t="shared" si="13"/>
        <v>1.1576525278822967</v>
      </c>
      <c r="P202">
        <f>Таблица5[[#This Row],[Xi]]^2</f>
        <v>350.06410000000005</v>
      </c>
      <c r="R202" s="3">
        <v>4</v>
      </c>
      <c r="S202">
        <f t="shared" si="14"/>
        <v>1.0017213114754098</v>
      </c>
      <c r="T202">
        <f t="shared" si="15"/>
        <v>1.003445585864015</v>
      </c>
      <c r="U202">
        <f>Таблица6[[#This Row],[Yi]]^2</f>
        <v>16</v>
      </c>
      <c r="W202">
        <f>Таблица5[[#This Row],[Xi]]*Таблица6[[#This Row],[Yi]]</f>
        <v>74.84</v>
      </c>
    </row>
    <row r="203" spans="1:23" x14ac:dyDescent="0.25">
      <c r="A203" t="s">
        <v>316</v>
      </c>
      <c r="B203" t="s">
        <v>135</v>
      </c>
      <c r="C203" t="s">
        <v>9</v>
      </c>
      <c r="D203" t="s">
        <v>115</v>
      </c>
      <c r="E203" t="s">
        <v>151</v>
      </c>
      <c r="F203" t="s">
        <v>152</v>
      </c>
      <c r="G203">
        <v>2</v>
      </c>
      <c r="J203">
        <v>12.74</v>
      </c>
      <c r="K203">
        <v>2.0099999999999998</v>
      </c>
      <c r="M203" s="2">
        <v>12.74</v>
      </c>
      <c r="N203">
        <f t="shared" si="12"/>
        <v>-7.0459426229508235</v>
      </c>
      <c r="O203">
        <f t="shared" si="13"/>
        <v>49.64530744591513</v>
      </c>
      <c r="P203">
        <f>Таблица5[[#This Row],[Xi]]^2</f>
        <v>162.30760000000001</v>
      </c>
      <c r="R203" s="4">
        <v>2.0099999999999998</v>
      </c>
      <c r="S203">
        <f t="shared" si="14"/>
        <v>-0.98827868852459044</v>
      </c>
      <c r="T203">
        <f t="shared" si="15"/>
        <v>0.97669476619188444</v>
      </c>
      <c r="U203">
        <f>Таблица6[[#This Row],[Yi]]^2</f>
        <v>4.0400999999999989</v>
      </c>
      <c r="W203">
        <f>Таблица5[[#This Row],[Xi]]*Таблица6[[#This Row],[Yi]]</f>
        <v>25.607399999999998</v>
      </c>
    </row>
    <row r="204" spans="1:23" x14ac:dyDescent="0.25">
      <c r="A204" t="s">
        <v>313</v>
      </c>
      <c r="B204" t="s">
        <v>25</v>
      </c>
      <c r="C204" t="s">
        <v>9</v>
      </c>
      <c r="D204" t="s">
        <v>115</v>
      </c>
      <c r="E204" t="s">
        <v>151</v>
      </c>
      <c r="F204" t="s">
        <v>152</v>
      </c>
      <c r="G204">
        <v>2</v>
      </c>
      <c r="J204">
        <v>13</v>
      </c>
      <c r="K204">
        <v>2</v>
      </c>
      <c r="M204" s="1">
        <v>13</v>
      </c>
      <c r="N204">
        <f t="shared" si="12"/>
        <v>-6.7859426229508237</v>
      </c>
      <c r="O204">
        <f t="shared" si="13"/>
        <v>46.049017281980703</v>
      </c>
      <c r="P204">
        <f>Таблица5[[#This Row],[Xi]]^2</f>
        <v>169</v>
      </c>
      <c r="R204" s="3">
        <v>2</v>
      </c>
      <c r="S204">
        <f t="shared" si="14"/>
        <v>-0.99827868852459023</v>
      </c>
      <c r="T204">
        <f t="shared" si="15"/>
        <v>0.99656033996237581</v>
      </c>
      <c r="U204">
        <f>Таблица6[[#This Row],[Yi]]^2</f>
        <v>4</v>
      </c>
      <c r="W204">
        <f>Таблица5[[#This Row],[Xi]]*Таблица6[[#This Row],[Yi]]</f>
        <v>26</v>
      </c>
    </row>
    <row r="205" spans="1:23" x14ac:dyDescent="0.25">
      <c r="A205" t="s">
        <v>317</v>
      </c>
      <c r="B205" t="s">
        <v>72</v>
      </c>
      <c r="C205" t="s">
        <v>9</v>
      </c>
      <c r="D205" t="s">
        <v>115</v>
      </c>
      <c r="E205" t="s">
        <v>151</v>
      </c>
      <c r="F205" t="s">
        <v>152</v>
      </c>
      <c r="G205">
        <v>2</v>
      </c>
      <c r="J205">
        <v>16.399999999999999</v>
      </c>
      <c r="K205">
        <v>2.5</v>
      </c>
      <c r="M205" s="2">
        <v>16.399999999999999</v>
      </c>
      <c r="N205">
        <f t="shared" si="12"/>
        <v>-3.3859426229508252</v>
      </c>
      <c r="O205">
        <f t="shared" si="13"/>
        <v>11.464607445915114</v>
      </c>
      <c r="P205">
        <f>Таблица5[[#This Row],[Xi]]^2</f>
        <v>268.95999999999998</v>
      </c>
      <c r="R205" s="4">
        <v>2.5</v>
      </c>
      <c r="S205">
        <f t="shared" si="14"/>
        <v>-0.49827868852459023</v>
      </c>
      <c r="T205">
        <f t="shared" si="15"/>
        <v>0.24828165143778561</v>
      </c>
      <c r="U205">
        <f>Таблица6[[#This Row],[Yi]]^2</f>
        <v>6.25</v>
      </c>
      <c r="W205">
        <f>Таблица5[[#This Row],[Xi]]*Таблица6[[#This Row],[Yi]]</f>
        <v>41</v>
      </c>
    </row>
    <row r="206" spans="1:23" x14ac:dyDescent="0.25">
      <c r="A206" t="s">
        <v>318</v>
      </c>
      <c r="B206" t="s">
        <v>150</v>
      </c>
      <c r="C206" t="s">
        <v>15</v>
      </c>
      <c r="D206" t="s">
        <v>115</v>
      </c>
      <c r="E206" t="s">
        <v>151</v>
      </c>
      <c r="F206" t="s">
        <v>152</v>
      </c>
      <c r="G206">
        <v>4</v>
      </c>
      <c r="J206">
        <v>20.53</v>
      </c>
      <c r="K206">
        <v>4</v>
      </c>
      <c r="M206" s="1">
        <v>20.53</v>
      </c>
      <c r="N206">
        <f t="shared" si="12"/>
        <v>0.7440573770491774</v>
      </c>
      <c r="O206">
        <f t="shared" si="13"/>
        <v>0.55362138034130171</v>
      </c>
      <c r="P206">
        <f>Таблица5[[#This Row],[Xi]]^2</f>
        <v>421.48090000000002</v>
      </c>
      <c r="R206" s="3">
        <v>4</v>
      </c>
      <c r="S206">
        <f t="shared" si="14"/>
        <v>1.0017213114754098</v>
      </c>
      <c r="T206">
        <f t="shared" si="15"/>
        <v>1.003445585864015</v>
      </c>
      <c r="U206">
        <f>Таблица6[[#This Row],[Yi]]^2</f>
        <v>16</v>
      </c>
      <c r="W206">
        <f>Таблица5[[#This Row],[Xi]]*Таблица6[[#This Row],[Yi]]</f>
        <v>82.12</v>
      </c>
    </row>
    <row r="207" spans="1:23" x14ac:dyDescent="0.25">
      <c r="A207" t="s">
        <v>319</v>
      </c>
      <c r="B207" t="s">
        <v>31</v>
      </c>
      <c r="C207" t="s">
        <v>9</v>
      </c>
      <c r="D207" t="s">
        <v>115</v>
      </c>
      <c r="E207" t="s">
        <v>151</v>
      </c>
      <c r="F207" t="s">
        <v>152</v>
      </c>
      <c r="G207">
        <v>3</v>
      </c>
      <c r="J207">
        <v>16.47</v>
      </c>
      <c r="K207">
        <v>3.23</v>
      </c>
      <c r="M207" s="2">
        <v>16.47</v>
      </c>
      <c r="N207">
        <f t="shared" si="12"/>
        <v>-3.3159426229508249</v>
      </c>
      <c r="O207">
        <f t="shared" si="13"/>
        <v>10.995475478701996</v>
      </c>
      <c r="P207">
        <f>Таблица5[[#This Row],[Xi]]^2</f>
        <v>271.26089999999994</v>
      </c>
      <c r="R207" s="4">
        <v>3.23</v>
      </c>
      <c r="S207">
        <f t="shared" si="14"/>
        <v>0.23172131147540975</v>
      </c>
      <c r="T207">
        <f t="shared" si="15"/>
        <v>5.3694766191883861E-2</v>
      </c>
      <c r="U207">
        <f>Таблица6[[#This Row],[Yi]]^2</f>
        <v>10.4329</v>
      </c>
      <c r="W207">
        <f>Таблица5[[#This Row],[Xi]]*Таблица6[[#This Row],[Yi]]</f>
        <v>53.198099999999997</v>
      </c>
    </row>
    <row r="208" spans="1:23" x14ac:dyDescent="0.25">
      <c r="A208" t="s">
        <v>320</v>
      </c>
      <c r="B208" t="s">
        <v>321</v>
      </c>
      <c r="C208" t="s">
        <v>15</v>
      </c>
      <c r="D208" t="s">
        <v>115</v>
      </c>
      <c r="E208" t="s">
        <v>51</v>
      </c>
      <c r="F208" t="s">
        <v>12</v>
      </c>
      <c r="G208">
        <v>3</v>
      </c>
      <c r="J208">
        <v>26.59</v>
      </c>
      <c r="K208">
        <v>3.41</v>
      </c>
      <c r="M208" s="1">
        <v>26.59</v>
      </c>
      <c r="N208">
        <f t="shared" si="12"/>
        <v>6.8040573770491761</v>
      </c>
      <c r="O208">
        <f t="shared" si="13"/>
        <v>46.295196790177314</v>
      </c>
      <c r="P208">
        <f>Таблица5[[#This Row],[Xi]]^2</f>
        <v>707.02809999999999</v>
      </c>
      <c r="R208" s="3">
        <v>3.41</v>
      </c>
      <c r="S208">
        <f t="shared" si="14"/>
        <v>0.41172131147540991</v>
      </c>
      <c r="T208">
        <f t="shared" si="15"/>
        <v>0.16951443832303151</v>
      </c>
      <c r="U208">
        <f>Таблица6[[#This Row],[Yi]]^2</f>
        <v>11.628100000000002</v>
      </c>
      <c r="W208">
        <f>Таблица5[[#This Row],[Xi]]*Таблица6[[#This Row],[Yi]]</f>
        <v>90.671900000000008</v>
      </c>
    </row>
    <row r="209" spans="1:23" x14ac:dyDescent="0.25">
      <c r="A209" t="s">
        <v>322</v>
      </c>
      <c r="B209" t="s">
        <v>39</v>
      </c>
      <c r="C209" t="s">
        <v>15</v>
      </c>
      <c r="D209" t="s">
        <v>115</v>
      </c>
      <c r="E209" t="s">
        <v>51</v>
      </c>
      <c r="F209" t="s">
        <v>12</v>
      </c>
      <c r="G209">
        <v>4</v>
      </c>
      <c r="J209">
        <v>38.729999999999997</v>
      </c>
      <c r="K209">
        <v>3</v>
      </c>
      <c r="M209" s="2">
        <v>38.729999999999997</v>
      </c>
      <c r="N209">
        <f t="shared" si="12"/>
        <v>18.944057377049173</v>
      </c>
      <c r="O209">
        <f t="shared" si="13"/>
        <v>358.87730990493122</v>
      </c>
      <c r="P209">
        <f>Таблица5[[#This Row],[Xi]]^2</f>
        <v>1500.0128999999997</v>
      </c>
      <c r="R209" s="4">
        <v>3</v>
      </c>
      <c r="S209">
        <f t="shared" si="14"/>
        <v>1.7213114754097703E-3</v>
      </c>
      <c r="T209">
        <f t="shared" si="15"/>
        <v>2.9629131953773601E-6</v>
      </c>
      <c r="U209">
        <f>Таблица6[[#This Row],[Yi]]^2</f>
        <v>9</v>
      </c>
      <c r="W209">
        <f>Таблица5[[#This Row],[Xi]]*Таблица6[[#This Row],[Yi]]</f>
        <v>116.19</v>
      </c>
    </row>
    <row r="210" spans="1:23" x14ac:dyDescent="0.25">
      <c r="A210" t="s">
        <v>323</v>
      </c>
      <c r="B210" t="s">
        <v>163</v>
      </c>
      <c r="C210" t="s">
        <v>15</v>
      </c>
      <c r="D210" t="s">
        <v>115</v>
      </c>
      <c r="E210" t="s">
        <v>51</v>
      </c>
      <c r="F210" t="s">
        <v>12</v>
      </c>
      <c r="G210">
        <v>2</v>
      </c>
      <c r="J210">
        <v>24.27</v>
      </c>
      <c r="K210">
        <v>2.0299999999999998</v>
      </c>
      <c r="M210" s="1">
        <v>24.27</v>
      </c>
      <c r="N210">
        <f t="shared" si="12"/>
        <v>4.4840573770491758</v>
      </c>
      <c r="O210">
        <f t="shared" si="13"/>
        <v>20.106770560669133</v>
      </c>
      <c r="P210">
        <f>Таблица5[[#This Row],[Xi]]^2</f>
        <v>589.03289999999993</v>
      </c>
      <c r="R210" s="3">
        <v>2.0299999999999998</v>
      </c>
      <c r="S210">
        <f t="shared" si="14"/>
        <v>-0.96827868852459043</v>
      </c>
      <c r="T210">
        <f t="shared" si="15"/>
        <v>0.93756361865090077</v>
      </c>
      <c r="U210">
        <f>Таблица6[[#This Row],[Yi]]^2</f>
        <v>4.1208999999999989</v>
      </c>
      <c r="W210">
        <f>Таблица5[[#This Row],[Xi]]*Таблица6[[#This Row],[Yi]]</f>
        <v>49.268099999999997</v>
      </c>
    </row>
    <row r="211" spans="1:23" x14ac:dyDescent="0.25">
      <c r="A211" t="s">
        <v>324</v>
      </c>
      <c r="B211" t="s">
        <v>57</v>
      </c>
      <c r="C211" t="s">
        <v>9</v>
      </c>
      <c r="D211" t="s">
        <v>115</v>
      </c>
      <c r="E211" t="s">
        <v>51</v>
      </c>
      <c r="F211" t="s">
        <v>12</v>
      </c>
      <c r="G211">
        <v>2</v>
      </c>
      <c r="J211">
        <v>12.76</v>
      </c>
      <c r="K211">
        <v>2.23</v>
      </c>
      <c r="M211" s="2">
        <v>12.76</v>
      </c>
      <c r="N211">
        <f t="shared" si="12"/>
        <v>-7.0259426229508239</v>
      </c>
      <c r="O211">
        <f t="shared" si="13"/>
        <v>49.363869740997103</v>
      </c>
      <c r="P211">
        <f>Таблица5[[#This Row],[Xi]]^2</f>
        <v>162.8176</v>
      </c>
      <c r="R211" s="4">
        <v>2.23</v>
      </c>
      <c r="S211">
        <f t="shared" si="14"/>
        <v>-0.76827868852459025</v>
      </c>
      <c r="T211">
        <f t="shared" si="15"/>
        <v>0.59025214324106434</v>
      </c>
      <c r="U211">
        <f>Таблица6[[#This Row],[Yi]]^2</f>
        <v>4.9729000000000001</v>
      </c>
      <c r="W211">
        <f>Таблица5[[#This Row],[Xi]]*Таблица6[[#This Row],[Yi]]</f>
        <v>28.454799999999999</v>
      </c>
    </row>
    <row r="212" spans="1:23" x14ac:dyDescent="0.25">
      <c r="A212" t="s">
        <v>325</v>
      </c>
      <c r="B212" t="s">
        <v>25</v>
      </c>
      <c r="C212" t="s">
        <v>15</v>
      </c>
      <c r="D212" t="s">
        <v>115</v>
      </c>
      <c r="E212" t="s">
        <v>51</v>
      </c>
      <c r="F212" t="s">
        <v>12</v>
      </c>
      <c r="G212">
        <v>3</v>
      </c>
      <c r="J212">
        <v>30.06</v>
      </c>
      <c r="K212">
        <v>2</v>
      </c>
      <c r="M212" s="1">
        <v>30.06</v>
      </c>
      <c r="N212">
        <f t="shared" si="12"/>
        <v>10.274057377049175</v>
      </c>
      <c r="O212">
        <f t="shared" si="13"/>
        <v>105.55625498689858</v>
      </c>
      <c r="P212">
        <f>Таблица5[[#This Row],[Xi]]^2</f>
        <v>903.60359999999991</v>
      </c>
      <c r="R212" s="3">
        <v>2</v>
      </c>
      <c r="S212">
        <f t="shared" si="14"/>
        <v>-0.99827868852459023</v>
      </c>
      <c r="T212">
        <f t="shared" si="15"/>
        <v>0.99656033996237581</v>
      </c>
      <c r="U212">
        <f>Таблица6[[#This Row],[Yi]]^2</f>
        <v>4</v>
      </c>
      <c r="W212">
        <f>Таблица5[[#This Row],[Xi]]*Таблица6[[#This Row],[Yi]]</f>
        <v>60.12</v>
      </c>
    </row>
    <row r="213" spans="1:23" x14ac:dyDescent="0.25">
      <c r="A213" t="s">
        <v>326</v>
      </c>
      <c r="B213" t="s">
        <v>327</v>
      </c>
      <c r="C213" t="s">
        <v>15</v>
      </c>
      <c r="D213" t="s">
        <v>115</v>
      </c>
      <c r="E213" t="s">
        <v>51</v>
      </c>
      <c r="F213" t="s">
        <v>12</v>
      </c>
      <c r="G213">
        <v>4</v>
      </c>
      <c r="J213">
        <v>25.89</v>
      </c>
      <c r="K213">
        <v>5.16</v>
      </c>
      <c r="M213" s="2">
        <v>25.89</v>
      </c>
      <c r="N213">
        <f t="shared" si="12"/>
        <v>6.1040573770491768</v>
      </c>
      <c r="O213">
        <f t="shared" si="13"/>
        <v>37.259516462308476</v>
      </c>
      <c r="P213">
        <f>Таблица5[[#This Row],[Xi]]^2</f>
        <v>670.2921</v>
      </c>
      <c r="R213" s="4">
        <v>5.16</v>
      </c>
      <c r="S213">
        <f t="shared" si="14"/>
        <v>2.1617213114754099</v>
      </c>
      <c r="T213">
        <f t="shared" si="15"/>
        <v>4.6730390284869658</v>
      </c>
      <c r="U213">
        <f>Таблица6[[#This Row],[Yi]]^2</f>
        <v>26.625600000000002</v>
      </c>
      <c r="W213">
        <f>Таблица5[[#This Row],[Xi]]*Таблица6[[#This Row],[Yi]]</f>
        <v>133.5924</v>
      </c>
    </row>
    <row r="214" spans="1:23" x14ac:dyDescent="0.25">
      <c r="A214" t="s">
        <v>328</v>
      </c>
      <c r="B214" t="s">
        <v>329</v>
      </c>
      <c r="C214" t="s">
        <v>15</v>
      </c>
      <c r="D214" t="s">
        <v>10</v>
      </c>
      <c r="E214" t="s">
        <v>51</v>
      </c>
      <c r="F214" t="s">
        <v>12</v>
      </c>
      <c r="G214">
        <v>4</v>
      </c>
      <c r="J214">
        <v>48.33</v>
      </c>
      <c r="K214">
        <v>9</v>
      </c>
      <c r="M214" s="1">
        <v>48.33</v>
      </c>
      <c r="N214">
        <f t="shared" si="12"/>
        <v>28.544057377049175</v>
      </c>
      <c r="O214">
        <f t="shared" si="13"/>
        <v>814.76321154427535</v>
      </c>
      <c r="P214">
        <f>Таблица5[[#This Row],[Xi]]^2</f>
        <v>2335.7889</v>
      </c>
      <c r="R214" s="3">
        <v>9</v>
      </c>
      <c r="S214">
        <f t="shared" si="14"/>
        <v>6.0017213114754098</v>
      </c>
      <c r="T214">
        <f t="shared" si="15"/>
        <v>36.020658700618114</v>
      </c>
      <c r="U214">
        <f>Таблица6[[#This Row],[Yi]]^2</f>
        <v>81</v>
      </c>
      <c r="W214">
        <f>Таблица5[[#This Row],[Xi]]*Таблица6[[#This Row],[Yi]]</f>
        <v>434.96999999999997</v>
      </c>
    </row>
    <row r="215" spans="1:23" x14ac:dyDescent="0.25">
      <c r="A215" t="s">
        <v>330</v>
      </c>
      <c r="B215" t="s">
        <v>72</v>
      </c>
      <c r="C215" t="s">
        <v>9</v>
      </c>
      <c r="D215" t="s">
        <v>115</v>
      </c>
      <c r="E215" t="s">
        <v>51</v>
      </c>
      <c r="F215" t="s">
        <v>12</v>
      </c>
      <c r="G215">
        <v>2</v>
      </c>
      <c r="J215">
        <v>13.27</v>
      </c>
      <c r="K215">
        <v>2.5</v>
      </c>
      <c r="M215" s="2">
        <v>13.27</v>
      </c>
      <c r="N215">
        <f t="shared" si="12"/>
        <v>-6.5159426229508242</v>
      </c>
      <c r="O215">
        <f t="shared" si="13"/>
        <v>42.457508265587265</v>
      </c>
      <c r="P215">
        <f>Таблица5[[#This Row],[Xi]]^2</f>
        <v>176.09289999999999</v>
      </c>
      <c r="R215" s="4">
        <v>2.5</v>
      </c>
      <c r="S215">
        <f t="shared" si="14"/>
        <v>-0.49827868852459023</v>
      </c>
      <c r="T215">
        <f t="shared" si="15"/>
        <v>0.24828165143778561</v>
      </c>
      <c r="U215">
        <f>Таблица6[[#This Row],[Yi]]^2</f>
        <v>6.25</v>
      </c>
      <c r="W215">
        <f>Таблица5[[#This Row],[Xi]]*Таблица6[[#This Row],[Yi]]</f>
        <v>33.174999999999997</v>
      </c>
    </row>
    <row r="216" spans="1:23" x14ac:dyDescent="0.25">
      <c r="A216" t="s">
        <v>331</v>
      </c>
      <c r="B216" t="s">
        <v>296</v>
      </c>
      <c r="C216" t="s">
        <v>9</v>
      </c>
      <c r="D216" t="s">
        <v>115</v>
      </c>
      <c r="E216" t="s">
        <v>51</v>
      </c>
      <c r="F216" t="s">
        <v>12</v>
      </c>
      <c r="G216">
        <v>3</v>
      </c>
      <c r="J216">
        <v>28.17</v>
      </c>
      <c r="K216">
        <v>6.5</v>
      </c>
      <c r="M216" s="1">
        <v>28.17</v>
      </c>
      <c r="N216">
        <f t="shared" si="12"/>
        <v>8.384057377049178</v>
      </c>
      <c r="O216">
        <f t="shared" si="13"/>
        <v>70.292418101652743</v>
      </c>
      <c r="P216">
        <f>Таблица5[[#This Row],[Xi]]^2</f>
        <v>793.54890000000012</v>
      </c>
      <c r="R216" s="3">
        <v>6.5</v>
      </c>
      <c r="S216">
        <f t="shared" si="14"/>
        <v>3.5017213114754098</v>
      </c>
      <c r="T216">
        <f t="shared" si="15"/>
        <v>12.262052143241064</v>
      </c>
      <c r="U216">
        <f>Таблица6[[#This Row],[Yi]]^2</f>
        <v>42.25</v>
      </c>
      <c r="W216">
        <f>Таблица5[[#This Row],[Xi]]*Таблица6[[#This Row],[Yi]]</f>
        <v>183.10500000000002</v>
      </c>
    </row>
    <row r="217" spans="1:23" x14ac:dyDescent="0.25">
      <c r="A217" t="s">
        <v>332</v>
      </c>
      <c r="B217" t="s">
        <v>333</v>
      </c>
      <c r="C217" t="s">
        <v>9</v>
      </c>
      <c r="D217" t="s">
        <v>115</v>
      </c>
      <c r="E217" t="s">
        <v>51</v>
      </c>
      <c r="F217" t="s">
        <v>12</v>
      </c>
      <c r="G217">
        <v>2</v>
      </c>
      <c r="J217">
        <v>12.9</v>
      </c>
      <c r="K217">
        <v>1.1000000000000001</v>
      </c>
      <c r="M217" s="2">
        <v>12.9</v>
      </c>
      <c r="N217">
        <f t="shared" si="12"/>
        <v>-6.8859426229508234</v>
      </c>
      <c r="O217">
        <f t="shared" si="13"/>
        <v>47.416205806570865</v>
      </c>
      <c r="P217">
        <f>Таблица5[[#This Row],[Xi]]^2</f>
        <v>166.41</v>
      </c>
      <c r="R217" s="4">
        <v>1.1000000000000001</v>
      </c>
      <c r="S217">
        <f t="shared" si="14"/>
        <v>-1.8982786885245901</v>
      </c>
      <c r="T217">
        <f t="shared" si="15"/>
        <v>3.6034619793066378</v>
      </c>
      <c r="U217">
        <f>Таблица6[[#This Row],[Yi]]^2</f>
        <v>1.2100000000000002</v>
      </c>
      <c r="W217">
        <f>Таблица5[[#This Row],[Xi]]*Таблица6[[#This Row],[Yi]]</f>
        <v>14.190000000000001</v>
      </c>
    </row>
    <row r="218" spans="1:23" x14ac:dyDescent="0.25">
      <c r="A218" t="s">
        <v>334</v>
      </c>
      <c r="B218" t="s">
        <v>39</v>
      </c>
      <c r="C218" t="s">
        <v>15</v>
      </c>
      <c r="D218" t="s">
        <v>115</v>
      </c>
      <c r="E218" t="s">
        <v>51</v>
      </c>
      <c r="F218" t="s">
        <v>12</v>
      </c>
      <c r="G218">
        <v>5</v>
      </c>
      <c r="J218">
        <v>28.15</v>
      </c>
      <c r="K218">
        <v>3</v>
      </c>
      <c r="M218" s="1">
        <v>28.15</v>
      </c>
      <c r="N218">
        <f t="shared" si="12"/>
        <v>8.3640573770491748</v>
      </c>
      <c r="O218">
        <f t="shared" si="13"/>
        <v>69.957455806570721</v>
      </c>
      <c r="P218">
        <f>Таблица5[[#This Row],[Xi]]^2</f>
        <v>792.4224999999999</v>
      </c>
      <c r="R218" s="3">
        <v>3</v>
      </c>
      <c r="S218">
        <f t="shared" si="14"/>
        <v>1.7213114754097703E-3</v>
      </c>
      <c r="T218">
        <f t="shared" si="15"/>
        <v>2.9629131953773601E-6</v>
      </c>
      <c r="U218">
        <f>Таблица6[[#This Row],[Yi]]^2</f>
        <v>9</v>
      </c>
      <c r="W218">
        <f>Таблица5[[#This Row],[Xi]]*Таблица6[[#This Row],[Yi]]</f>
        <v>84.449999999999989</v>
      </c>
    </row>
    <row r="219" spans="1:23" x14ac:dyDescent="0.25">
      <c r="A219" t="s">
        <v>335</v>
      </c>
      <c r="B219" t="s">
        <v>117</v>
      </c>
      <c r="C219" t="s">
        <v>15</v>
      </c>
      <c r="D219" t="s">
        <v>115</v>
      </c>
      <c r="E219" t="s">
        <v>51</v>
      </c>
      <c r="F219" t="s">
        <v>12</v>
      </c>
      <c r="G219">
        <v>2</v>
      </c>
      <c r="J219">
        <v>11.59</v>
      </c>
      <c r="K219">
        <v>1.5</v>
      </c>
      <c r="M219" s="2">
        <v>11.59</v>
      </c>
      <c r="N219">
        <f t="shared" si="12"/>
        <v>-8.1959426229508239</v>
      </c>
      <c r="O219">
        <f t="shared" si="13"/>
        <v>67.173475478702031</v>
      </c>
      <c r="P219">
        <f>Таблица5[[#This Row],[Xi]]^2</f>
        <v>134.32810000000001</v>
      </c>
      <c r="R219" s="4">
        <v>1.5</v>
      </c>
      <c r="S219">
        <f t="shared" si="14"/>
        <v>-1.4982786885245902</v>
      </c>
      <c r="T219">
        <f t="shared" si="15"/>
        <v>2.2448390284869659</v>
      </c>
      <c r="U219">
        <f>Таблица6[[#This Row],[Yi]]^2</f>
        <v>2.25</v>
      </c>
      <c r="W219">
        <f>Таблица5[[#This Row],[Xi]]*Таблица6[[#This Row],[Yi]]</f>
        <v>17.384999999999998</v>
      </c>
    </row>
    <row r="220" spans="1:23" x14ac:dyDescent="0.25">
      <c r="A220" t="s">
        <v>336</v>
      </c>
      <c r="B220" t="s">
        <v>311</v>
      </c>
      <c r="C220" t="s">
        <v>15</v>
      </c>
      <c r="D220" t="s">
        <v>115</v>
      </c>
      <c r="E220" t="s">
        <v>51</v>
      </c>
      <c r="F220" t="s">
        <v>12</v>
      </c>
      <c r="G220">
        <v>2</v>
      </c>
      <c r="J220">
        <v>7.74</v>
      </c>
      <c r="K220">
        <v>1.44</v>
      </c>
      <c r="M220" s="1">
        <v>7.74</v>
      </c>
      <c r="N220">
        <f t="shared" si="12"/>
        <v>-12.045942622950824</v>
      </c>
      <c r="O220">
        <f t="shared" si="13"/>
        <v>145.10473367542338</v>
      </c>
      <c r="P220">
        <f>Таблица5[[#This Row],[Xi]]^2</f>
        <v>59.907600000000002</v>
      </c>
      <c r="R220" s="3">
        <v>1.44</v>
      </c>
      <c r="S220">
        <f t="shared" si="14"/>
        <v>-1.5582786885245903</v>
      </c>
      <c r="T220">
        <f t="shared" si="15"/>
        <v>2.4282324711099172</v>
      </c>
      <c r="U220">
        <f>Таблица6[[#This Row],[Yi]]^2</f>
        <v>2.0735999999999999</v>
      </c>
      <c r="W220">
        <f>Таблица5[[#This Row],[Xi]]*Таблица6[[#This Row],[Yi]]</f>
        <v>11.1456</v>
      </c>
    </row>
    <row r="221" spans="1:23" x14ac:dyDescent="0.25">
      <c r="A221" t="s">
        <v>337</v>
      </c>
      <c r="B221" t="s">
        <v>338</v>
      </c>
      <c r="C221" t="s">
        <v>9</v>
      </c>
      <c r="D221" t="s">
        <v>115</v>
      </c>
      <c r="E221" t="s">
        <v>51</v>
      </c>
      <c r="F221" t="s">
        <v>12</v>
      </c>
      <c r="G221">
        <v>4</v>
      </c>
      <c r="J221">
        <v>30.14</v>
      </c>
      <c r="K221">
        <v>3.09</v>
      </c>
      <c r="M221" s="2">
        <v>30.14</v>
      </c>
      <c r="N221">
        <f t="shared" si="12"/>
        <v>10.354057377049177</v>
      </c>
      <c r="O221">
        <f t="shared" si="13"/>
        <v>107.20650416722648</v>
      </c>
      <c r="P221">
        <f>Таблица5[[#This Row],[Xi]]^2</f>
        <v>908.41960000000006</v>
      </c>
      <c r="R221" s="4">
        <v>3.09</v>
      </c>
      <c r="S221">
        <f t="shared" si="14"/>
        <v>9.1721311475409628E-2</v>
      </c>
      <c r="T221">
        <f t="shared" si="15"/>
        <v>8.41279897876911E-3</v>
      </c>
      <c r="U221">
        <f>Таблица6[[#This Row],[Yi]]^2</f>
        <v>9.5480999999999998</v>
      </c>
      <c r="W221">
        <f>Таблица5[[#This Row],[Xi]]*Таблица6[[#This Row],[Yi]]</f>
        <v>93.132599999999996</v>
      </c>
    </row>
    <row r="222" spans="1:23" x14ac:dyDescent="0.25">
      <c r="A222" t="s">
        <v>339</v>
      </c>
      <c r="B222" t="s">
        <v>145</v>
      </c>
      <c r="C222" t="s">
        <v>15</v>
      </c>
      <c r="D222" t="s">
        <v>115</v>
      </c>
      <c r="E222" t="s">
        <v>172</v>
      </c>
      <c r="F222" t="s">
        <v>152</v>
      </c>
      <c r="G222">
        <v>2</v>
      </c>
      <c r="J222">
        <v>12.16</v>
      </c>
      <c r="K222">
        <v>2.2000000000000002</v>
      </c>
      <c r="M222" s="1">
        <v>12.16</v>
      </c>
      <c r="N222">
        <f t="shared" si="12"/>
        <v>-7.6259426229508236</v>
      </c>
      <c r="O222">
        <f t="shared" si="13"/>
        <v>58.15500088853809</v>
      </c>
      <c r="P222">
        <f>Таблица5[[#This Row],[Xi]]^2</f>
        <v>147.8656</v>
      </c>
      <c r="R222" s="3">
        <v>2.2000000000000002</v>
      </c>
      <c r="S222">
        <f t="shared" si="14"/>
        <v>-0.79827868852459005</v>
      </c>
      <c r="T222">
        <f t="shared" si="15"/>
        <v>0.63724886455253948</v>
      </c>
      <c r="U222">
        <f>Таблица6[[#This Row],[Yi]]^2</f>
        <v>4.8400000000000007</v>
      </c>
      <c r="W222">
        <f>Таблица5[[#This Row],[Xi]]*Таблица6[[#This Row],[Yi]]</f>
        <v>26.752000000000002</v>
      </c>
    </row>
    <row r="223" spans="1:23" x14ac:dyDescent="0.25">
      <c r="A223" t="s">
        <v>212</v>
      </c>
      <c r="B223" t="s">
        <v>187</v>
      </c>
      <c r="C223" t="s">
        <v>9</v>
      </c>
      <c r="D223" t="s">
        <v>115</v>
      </c>
      <c r="E223" t="s">
        <v>172</v>
      </c>
      <c r="F223" t="s">
        <v>152</v>
      </c>
      <c r="G223">
        <v>2</v>
      </c>
      <c r="J223">
        <v>13.42</v>
      </c>
      <c r="K223">
        <v>3.48</v>
      </c>
      <c r="M223" s="2">
        <v>13.42</v>
      </c>
      <c r="N223">
        <f t="shared" si="12"/>
        <v>-6.3659426229508238</v>
      </c>
      <c r="O223">
        <f t="shared" si="13"/>
        <v>40.525225478702012</v>
      </c>
      <c r="P223">
        <f>Таблица5[[#This Row],[Xi]]^2</f>
        <v>180.09639999999999</v>
      </c>
      <c r="R223" s="4">
        <v>3.48</v>
      </c>
      <c r="S223">
        <f t="shared" si="14"/>
        <v>0.48172131147540975</v>
      </c>
      <c r="T223">
        <f t="shared" si="15"/>
        <v>0.23205542192958875</v>
      </c>
      <c r="U223">
        <f>Таблица6[[#This Row],[Yi]]^2</f>
        <v>12.1104</v>
      </c>
      <c r="W223">
        <f>Таблица5[[#This Row],[Xi]]*Таблица6[[#This Row],[Yi]]</f>
        <v>46.701599999999999</v>
      </c>
    </row>
    <row r="224" spans="1:23" x14ac:dyDescent="0.25">
      <c r="A224" t="s">
        <v>340</v>
      </c>
      <c r="B224" t="s">
        <v>341</v>
      </c>
      <c r="C224" t="s">
        <v>15</v>
      </c>
      <c r="D224" t="s">
        <v>115</v>
      </c>
      <c r="E224" t="s">
        <v>172</v>
      </c>
      <c r="F224" t="s">
        <v>152</v>
      </c>
      <c r="G224">
        <v>1</v>
      </c>
      <c r="J224">
        <v>8.58</v>
      </c>
      <c r="K224">
        <v>1.92</v>
      </c>
      <c r="M224" s="1">
        <v>8.58</v>
      </c>
      <c r="N224">
        <f t="shared" si="12"/>
        <v>-11.205942622950824</v>
      </c>
      <c r="O224">
        <f t="shared" si="13"/>
        <v>125.57315006886598</v>
      </c>
      <c r="P224">
        <f>Таблица5[[#This Row],[Xi]]^2</f>
        <v>73.616399999999999</v>
      </c>
      <c r="R224" s="3">
        <v>1.92</v>
      </c>
      <c r="S224">
        <f t="shared" si="14"/>
        <v>-1.0782786885245903</v>
      </c>
      <c r="T224">
        <f t="shared" si="15"/>
        <v>1.1626849301263105</v>
      </c>
      <c r="U224">
        <f>Таблица6[[#This Row],[Yi]]^2</f>
        <v>3.6863999999999999</v>
      </c>
      <c r="W224">
        <f>Таблица5[[#This Row],[Xi]]*Таблица6[[#This Row],[Yi]]</f>
        <v>16.473600000000001</v>
      </c>
    </row>
    <row r="225" spans="1:23" x14ac:dyDescent="0.25">
      <c r="A225" t="s">
        <v>162</v>
      </c>
      <c r="B225" t="s">
        <v>39</v>
      </c>
      <c r="C225" t="s">
        <v>9</v>
      </c>
      <c r="D225" t="s">
        <v>10</v>
      </c>
      <c r="E225" t="s">
        <v>172</v>
      </c>
      <c r="F225" t="s">
        <v>152</v>
      </c>
      <c r="G225">
        <v>3</v>
      </c>
      <c r="J225">
        <v>15.98</v>
      </c>
      <c r="K225">
        <v>3</v>
      </c>
      <c r="M225" s="2">
        <v>15.98</v>
      </c>
      <c r="N225">
        <f t="shared" si="12"/>
        <v>-3.8059426229508233</v>
      </c>
      <c r="O225">
        <f t="shared" si="13"/>
        <v>14.485199249193792</v>
      </c>
      <c r="P225">
        <f>Таблица5[[#This Row],[Xi]]^2</f>
        <v>255.36040000000003</v>
      </c>
      <c r="R225" s="4">
        <v>3</v>
      </c>
      <c r="S225">
        <f t="shared" si="14"/>
        <v>1.7213114754097703E-3</v>
      </c>
      <c r="T225">
        <f t="shared" si="15"/>
        <v>2.9629131953773601E-6</v>
      </c>
      <c r="U225">
        <f>Таблица6[[#This Row],[Yi]]^2</f>
        <v>9</v>
      </c>
      <c r="W225">
        <f>Таблица5[[#This Row],[Xi]]*Таблица6[[#This Row],[Yi]]</f>
        <v>47.94</v>
      </c>
    </row>
    <row r="226" spans="1:23" x14ac:dyDescent="0.25">
      <c r="A226" t="s">
        <v>212</v>
      </c>
      <c r="B226" t="s">
        <v>342</v>
      </c>
      <c r="C226" t="s">
        <v>15</v>
      </c>
      <c r="D226" t="s">
        <v>115</v>
      </c>
      <c r="E226" t="s">
        <v>172</v>
      </c>
      <c r="F226" t="s">
        <v>152</v>
      </c>
      <c r="G226">
        <v>2</v>
      </c>
      <c r="J226">
        <v>13.42</v>
      </c>
      <c r="K226">
        <v>1.58</v>
      </c>
      <c r="M226" s="1">
        <v>13.42</v>
      </c>
      <c r="N226">
        <f t="shared" si="12"/>
        <v>-6.3659426229508238</v>
      </c>
      <c r="O226">
        <f t="shared" si="13"/>
        <v>40.525225478702012</v>
      </c>
      <c r="P226">
        <f>Таблица5[[#This Row],[Xi]]^2</f>
        <v>180.09639999999999</v>
      </c>
      <c r="R226" s="3">
        <v>1.58</v>
      </c>
      <c r="S226">
        <f t="shared" si="14"/>
        <v>-1.4182786885245902</v>
      </c>
      <c r="T226">
        <f t="shared" si="15"/>
        <v>2.0115144383230312</v>
      </c>
      <c r="U226">
        <f>Таблица6[[#This Row],[Yi]]^2</f>
        <v>2.4964000000000004</v>
      </c>
      <c r="W226">
        <f>Таблица5[[#This Row],[Xi]]*Таблица6[[#This Row],[Yi]]</f>
        <v>21.203600000000002</v>
      </c>
    </row>
    <row r="227" spans="1:23" x14ac:dyDescent="0.25">
      <c r="A227" t="s">
        <v>343</v>
      </c>
      <c r="B227" t="s">
        <v>72</v>
      </c>
      <c r="C227" t="s">
        <v>9</v>
      </c>
      <c r="D227" t="s">
        <v>115</v>
      </c>
      <c r="E227" t="s">
        <v>172</v>
      </c>
      <c r="F227" t="s">
        <v>152</v>
      </c>
      <c r="G227">
        <v>2</v>
      </c>
      <c r="J227">
        <v>16.27</v>
      </c>
      <c r="K227">
        <v>2.5</v>
      </c>
      <c r="M227" s="2">
        <v>16.27</v>
      </c>
      <c r="N227">
        <f t="shared" si="12"/>
        <v>-3.5159426229508242</v>
      </c>
      <c r="O227">
        <f t="shared" si="13"/>
        <v>12.361852527882322</v>
      </c>
      <c r="P227">
        <f>Таблица5[[#This Row],[Xi]]^2</f>
        <v>264.71289999999999</v>
      </c>
      <c r="R227" s="4">
        <v>2.5</v>
      </c>
      <c r="S227">
        <f t="shared" si="14"/>
        <v>-0.49827868852459023</v>
      </c>
      <c r="T227">
        <f t="shared" si="15"/>
        <v>0.24828165143778561</v>
      </c>
      <c r="U227">
        <f>Таблица6[[#This Row],[Yi]]^2</f>
        <v>6.25</v>
      </c>
      <c r="W227">
        <f>Таблица5[[#This Row],[Xi]]*Таблица6[[#This Row],[Yi]]</f>
        <v>40.674999999999997</v>
      </c>
    </row>
    <row r="228" spans="1:23" x14ac:dyDescent="0.25">
      <c r="A228" t="s">
        <v>344</v>
      </c>
      <c r="B228" t="s">
        <v>25</v>
      </c>
      <c r="C228" t="s">
        <v>9</v>
      </c>
      <c r="D228" t="s">
        <v>115</v>
      </c>
      <c r="E228" t="s">
        <v>172</v>
      </c>
      <c r="F228" t="s">
        <v>152</v>
      </c>
      <c r="G228">
        <v>2</v>
      </c>
      <c r="J228">
        <v>10.09</v>
      </c>
      <c r="K228">
        <v>2</v>
      </c>
      <c r="M228" s="1">
        <v>10.09</v>
      </c>
      <c r="N228">
        <f t="shared" si="12"/>
        <v>-9.6959426229508239</v>
      </c>
      <c r="O228">
        <f t="shared" si="13"/>
        <v>94.011303347554502</v>
      </c>
      <c r="P228">
        <f>Таблица5[[#This Row],[Xi]]^2</f>
        <v>101.8081</v>
      </c>
      <c r="R228" s="3">
        <v>2</v>
      </c>
      <c r="S228">
        <f t="shared" si="14"/>
        <v>-0.99827868852459023</v>
      </c>
      <c r="T228">
        <f t="shared" si="15"/>
        <v>0.99656033996237581</v>
      </c>
      <c r="U228">
        <f>Таблица6[[#This Row],[Yi]]^2</f>
        <v>4</v>
      </c>
      <c r="W228">
        <f>Таблица5[[#This Row],[Xi]]*Таблица6[[#This Row],[Yi]]</f>
        <v>20.18</v>
      </c>
    </row>
    <row r="229" spans="1:23" x14ac:dyDescent="0.25">
      <c r="A229" t="s">
        <v>345</v>
      </c>
      <c r="B229" t="s">
        <v>39</v>
      </c>
      <c r="C229" t="s">
        <v>15</v>
      </c>
      <c r="D229" t="s">
        <v>10</v>
      </c>
      <c r="E229" t="s">
        <v>51</v>
      </c>
      <c r="F229" t="s">
        <v>12</v>
      </c>
      <c r="G229">
        <v>4</v>
      </c>
      <c r="J229">
        <v>20.45</v>
      </c>
      <c r="K229">
        <v>3</v>
      </c>
      <c r="M229" s="2">
        <v>20.45</v>
      </c>
      <c r="N229">
        <f t="shared" si="12"/>
        <v>0.66405737704917556</v>
      </c>
      <c r="O229">
        <f t="shared" si="13"/>
        <v>0.4409722000134309</v>
      </c>
      <c r="P229">
        <f>Таблица5[[#This Row],[Xi]]^2</f>
        <v>418.20249999999999</v>
      </c>
      <c r="R229" s="4">
        <v>3</v>
      </c>
      <c r="S229">
        <f t="shared" si="14"/>
        <v>1.7213114754097703E-3</v>
      </c>
      <c r="T229">
        <f t="shared" si="15"/>
        <v>2.9629131953773601E-6</v>
      </c>
      <c r="U229">
        <f>Таблица6[[#This Row],[Yi]]^2</f>
        <v>9</v>
      </c>
      <c r="W229">
        <f>Таблица5[[#This Row],[Xi]]*Таблица6[[#This Row],[Yi]]</f>
        <v>61.349999999999994</v>
      </c>
    </row>
    <row r="230" spans="1:23" x14ac:dyDescent="0.25">
      <c r="A230" t="s">
        <v>346</v>
      </c>
      <c r="B230" t="s">
        <v>347</v>
      </c>
      <c r="C230" t="s">
        <v>15</v>
      </c>
      <c r="D230" t="s">
        <v>10</v>
      </c>
      <c r="E230" t="s">
        <v>51</v>
      </c>
      <c r="F230" t="s">
        <v>12</v>
      </c>
      <c r="G230">
        <v>2</v>
      </c>
      <c r="J230">
        <v>13.28</v>
      </c>
      <c r="K230">
        <v>2.72</v>
      </c>
      <c r="M230" s="1">
        <v>13.28</v>
      </c>
      <c r="N230">
        <f t="shared" si="12"/>
        <v>-6.5059426229508244</v>
      </c>
      <c r="O230">
        <f t="shared" si="13"/>
        <v>42.327289413128256</v>
      </c>
      <c r="P230">
        <f>Таблица5[[#This Row],[Xi]]^2</f>
        <v>176.35839999999999</v>
      </c>
      <c r="R230" s="3">
        <v>2.72</v>
      </c>
      <c r="S230">
        <f t="shared" si="14"/>
        <v>-0.27827868852459003</v>
      </c>
      <c r="T230">
        <f t="shared" si="15"/>
        <v>7.7439028486965794E-2</v>
      </c>
      <c r="U230">
        <f>Таблица6[[#This Row],[Yi]]^2</f>
        <v>7.3984000000000014</v>
      </c>
      <c r="W230">
        <f>Таблица5[[#This Row],[Xi]]*Таблица6[[#This Row],[Yi]]</f>
        <v>36.121600000000001</v>
      </c>
    </row>
    <row r="231" spans="1:23" x14ac:dyDescent="0.25">
      <c r="A231" t="s">
        <v>348</v>
      </c>
      <c r="B231" t="s">
        <v>349</v>
      </c>
      <c r="C231" t="s">
        <v>9</v>
      </c>
      <c r="D231" t="s">
        <v>115</v>
      </c>
      <c r="E231" t="s">
        <v>51</v>
      </c>
      <c r="F231" t="s">
        <v>12</v>
      </c>
      <c r="G231">
        <v>2</v>
      </c>
      <c r="J231">
        <v>22.12</v>
      </c>
      <c r="K231">
        <v>2.88</v>
      </c>
      <c r="M231" s="2">
        <v>22.12</v>
      </c>
      <c r="N231">
        <f t="shared" si="12"/>
        <v>2.3340573770491773</v>
      </c>
      <c r="O231">
        <f t="shared" si="13"/>
        <v>5.4478238393576852</v>
      </c>
      <c r="P231">
        <f>Таблица5[[#This Row],[Xi]]^2</f>
        <v>489.29440000000005</v>
      </c>
      <c r="R231" s="4">
        <v>2.88</v>
      </c>
      <c r="S231">
        <f t="shared" si="14"/>
        <v>-0.11827868852459034</v>
      </c>
      <c r="T231">
        <f t="shared" si="15"/>
        <v>1.3989848159097058E-2</v>
      </c>
      <c r="U231">
        <f>Таблица6[[#This Row],[Yi]]^2</f>
        <v>8.2943999999999996</v>
      </c>
      <c r="W231">
        <f>Таблица5[[#This Row],[Xi]]*Таблица6[[#This Row],[Yi]]</f>
        <v>63.705600000000004</v>
      </c>
    </row>
    <row r="232" spans="1:23" x14ac:dyDescent="0.25">
      <c r="A232" t="s">
        <v>350</v>
      </c>
      <c r="B232" t="s">
        <v>25</v>
      </c>
      <c r="C232" t="s">
        <v>15</v>
      </c>
      <c r="D232" t="s">
        <v>115</v>
      </c>
      <c r="E232" t="s">
        <v>51</v>
      </c>
      <c r="F232" t="s">
        <v>12</v>
      </c>
      <c r="G232">
        <v>4</v>
      </c>
      <c r="J232">
        <v>24.01</v>
      </c>
      <c r="K232">
        <v>2</v>
      </c>
      <c r="M232" s="1">
        <v>24.01</v>
      </c>
      <c r="N232">
        <f t="shared" si="12"/>
        <v>4.2240573770491778</v>
      </c>
      <c r="O232">
        <f t="shared" si="13"/>
        <v>17.842660724603579</v>
      </c>
      <c r="P232">
        <f>Таблица5[[#This Row],[Xi]]^2</f>
        <v>576.48010000000011</v>
      </c>
      <c r="R232" s="3">
        <v>2</v>
      </c>
      <c r="S232">
        <f t="shared" si="14"/>
        <v>-0.99827868852459023</v>
      </c>
      <c r="T232">
        <f t="shared" si="15"/>
        <v>0.99656033996237581</v>
      </c>
      <c r="U232">
        <f>Таблица6[[#This Row],[Yi]]^2</f>
        <v>4</v>
      </c>
      <c r="W232">
        <f>Таблица5[[#This Row],[Xi]]*Таблица6[[#This Row],[Yi]]</f>
        <v>48.02</v>
      </c>
    </row>
    <row r="233" spans="1:23" x14ac:dyDescent="0.25">
      <c r="A233" t="s">
        <v>302</v>
      </c>
      <c r="B233" t="s">
        <v>39</v>
      </c>
      <c r="C233" t="s">
        <v>15</v>
      </c>
      <c r="D233" t="s">
        <v>115</v>
      </c>
      <c r="E233" t="s">
        <v>51</v>
      </c>
      <c r="F233" t="s">
        <v>12</v>
      </c>
      <c r="G233">
        <v>3</v>
      </c>
      <c r="J233">
        <v>15.69</v>
      </c>
      <c r="K233">
        <v>3</v>
      </c>
      <c r="M233" s="2">
        <v>15.69</v>
      </c>
      <c r="N233">
        <f t="shared" si="12"/>
        <v>-4.0959426229508242</v>
      </c>
      <c r="O233">
        <f t="shared" si="13"/>
        <v>16.776745970505278</v>
      </c>
      <c r="P233">
        <f>Таблица5[[#This Row],[Xi]]^2</f>
        <v>246.17609999999999</v>
      </c>
      <c r="R233" s="4">
        <v>3</v>
      </c>
      <c r="S233">
        <f t="shared" si="14"/>
        <v>1.7213114754097703E-3</v>
      </c>
      <c r="T233">
        <f t="shared" si="15"/>
        <v>2.9629131953773601E-6</v>
      </c>
      <c r="U233">
        <f>Таблица6[[#This Row],[Yi]]^2</f>
        <v>9</v>
      </c>
      <c r="W233">
        <f>Таблица5[[#This Row],[Xi]]*Таблица6[[#This Row],[Yi]]</f>
        <v>47.07</v>
      </c>
    </row>
    <row r="234" spans="1:23" x14ac:dyDescent="0.25">
      <c r="A234" t="s">
        <v>351</v>
      </c>
      <c r="B234" t="s">
        <v>352</v>
      </c>
      <c r="C234" t="s">
        <v>15</v>
      </c>
      <c r="D234" t="s">
        <v>10</v>
      </c>
      <c r="E234" t="s">
        <v>51</v>
      </c>
      <c r="F234" t="s">
        <v>12</v>
      </c>
      <c r="G234">
        <v>2</v>
      </c>
      <c r="J234">
        <v>11.61</v>
      </c>
      <c r="K234">
        <v>3.39</v>
      </c>
      <c r="M234" s="1">
        <v>11.61</v>
      </c>
      <c r="N234">
        <f t="shared" si="12"/>
        <v>-8.1759426229508243</v>
      </c>
      <c r="O234">
        <f t="shared" si="13"/>
        <v>66.846037773784005</v>
      </c>
      <c r="P234">
        <f>Таблица5[[#This Row],[Xi]]^2</f>
        <v>134.79209999999998</v>
      </c>
      <c r="R234" s="3">
        <v>3.39</v>
      </c>
      <c r="S234">
        <f t="shared" si="14"/>
        <v>0.39172131147540989</v>
      </c>
      <c r="T234">
        <f t="shared" si="15"/>
        <v>0.1534455858640151</v>
      </c>
      <c r="U234">
        <f>Таблица6[[#This Row],[Yi]]^2</f>
        <v>11.492100000000001</v>
      </c>
      <c r="W234">
        <f>Таблица5[[#This Row],[Xi]]*Таблица6[[#This Row],[Yi]]</f>
        <v>39.357900000000001</v>
      </c>
    </row>
    <row r="235" spans="1:23" x14ac:dyDescent="0.25">
      <c r="A235" t="s">
        <v>353</v>
      </c>
      <c r="B235" t="s">
        <v>354</v>
      </c>
      <c r="C235" t="s">
        <v>15</v>
      </c>
      <c r="D235" t="s">
        <v>10</v>
      </c>
      <c r="E235" t="s">
        <v>51</v>
      </c>
      <c r="F235" t="s">
        <v>12</v>
      </c>
      <c r="G235">
        <v>2</v>
      </c>
      <c r="J235">
        <v>10.77</v>
      </c>
      <c r="K235">
        <v>1.47</v>
      </c>
      <c r="M235" s="2">
        <v>10.77</v>
      </c>
      <c r="N235">
        <f t="shared" si="12"/>
        <v>-9.0159426229508242</v>
      </c>
      <c r="O235">
        <f t="shared" si="13"/>
        <v>81.287221380341393</v>
      </c>
      <c r="P235">
        <f>Таблица5[[#This Row],[Xi]]^2</f>
        <v>115.99289999999999</v>
      </c>
      <c r="R235" s="4">
        <v>1.47</v>
      </c>
      <c r="S235">
        <f t="shared" si="14"/>
        <v>-1.5282786885245903</v>
      </c>
      <c r="T235">
        <f t="shared" si="15"/>
        <v>2.3356357497984415</v>
      </c>
      <c r="U235">
        <f>Таблица6[[#This Row],[Yi]]^2</f>
        <v>2.1608999999999998</v>
      </c>
      <c r="W235">
        <f>Таблица5[[#This Row],[Xi]]*Таблица6[[#This Row],[Yi]]</f>
        <v>15.831899999999999</v>
      </c>
    </row>
    <row r="236" spans="1:23" x14ac:dyDescent="0.25">
      <c r="A236" t="s">
        <v>355</v>
      </c>
      <c r="B236" t="s">
        <v>39</v>
      </c>
      <c r="C236" t="s">
        <v>15</v>
      </c>
      <c r="D236" t="s">
        <v>115</v>
      </c>
      <c r="E236" t="s">
        <v>51</v>
      </c>
      <c r="F236" t="s">
        <v>12</v>
      </c>
      <c r="G236">
        <v>2</v>
      </c>
      <c r="J236">
        <v>15.53</v>
      </c>
      <c r="K236">
        <v>3</v>
      </c>
      <c r="M236" s="1">
        <v>15.53</v>
      </c>
      <c r="N236">
        <f t="shared" si="12"/>
        <v>-4.2559426229508244</v>
      </c>
      <c r="O236">
        <f t="shared" si="13"/>
        <v>18.113047609849541</v>
      </c>
      <c r="P236">
        <f>Таблица5[[#This Row],[Xi]]^2</f>
        <v>241.18089999999998</v>
      </c>
      <c r="R236" s="3">
        <v>3</v>
      </c>
      <c r="S236">
        <f t="shared" si="14"/>
        <v>1.7213114754097703E-3</v>
      </c>
      <c r="T236">
        <f t="shared" si="15"/>
        <v>2.9629131953773601E-6</v>
      </c>
      <c r="U236">
        <f>Таблица6[[#This Row],[Yi]]^2</f>
        <v>9</v>
      </c>
      <c r="W236">
        <f>Таблица5[[#This Row],[Xi]]*Таблица6[[#This Row],[Yi]]</f>
        <v>46.589999999999996</v>
      </c>
    </row>
    <row r="237" spans="1:23" x14ac:dyDescent="0.25">
      <c r="A237" t="s">
        <v>159</v>
      </c>
      <c r="B237" t="s">
        <v>147</v>
      </c>
      <c r="C237" t="s">
        <v>15</v>
      </c>
      <c r="D237" t="s">
        <v>10</v>
      </c>
      <c r="E237" t="s">
        <v>51</v>
      </c>
      <c r="F237" t="s">
        <v>12</v>
      </c>
      <c r="G237">
        <v>2</v>
      </c>
      <c r="J237">
        <v>10.07</v>
      </c>
      <c r="K237">
        <v>1.25</v>
      </c>
      <c r="M237" s="2">
        <v>10.07</v>
      </c>
      <c r="N237">
        <f t="shared" si="12"/>
        <v>-9.7159426229508234</v>
      </c>
      <c r="O237">
        <f t="shared" si="13"/>
        <v>94.399541052472529</v>
      </c>
      <c r="P237">
        <f>Таблица5[[#This Row],[Xi]]^2</f>
        <v>101.40490000000001</v>
      </c>
      <c r="R237" s="4">
        <v>1.25</v>
      </c>
      <c r="S237">
        <f t="shared" si="14"/>
        <v>-1.7482786885245902</v>
      </c>
      <c r="T237">
        <f t="shared" si="15"/>
        <v>3.056478372749261</v>
      </c>
      <c r="U237">
        <f>Таблица6[[#This Row],[Yi]]^2</f>
        <v>1.5625</v>
      </c>
      <c r="W237">
        <f>Таблица5[[#This Row],[Xi]]*Таблица6[[#This Row],[Yi]]</f>
        <v>12.5875</v>
      </c>
    </row>
    <row r="238" spans="1:23" x14ac:dyDescent="0.25">
      <c r="A238" t="s">
        <v>356</v>
      </c>
      <c r="B238" t="s">
        <v>133</v>
      </c>
      <c r="C238" t="s">
        <v>15</v>
      </c>
      <c r="D238" t="s">
        <v>115</v>
      </c>
      <c r="E238" t="s">
        <v>51</v>
      </c>
      <c r="F238" t="s">
        <v>12</v>
      </c>
      <c r="G238">
        <v>2</v>
      </c>
      <c r="J238">
        <v>12.6</v>
      </c>
      <c r="K238">
        <v>1</v>
      </c>
      <c r="M238" s="1">
        <v>12.6</v>
      </c>
      <c r="N238">
        <f t="shared" si="12"/>
        <v>-7.1859426229508241</v>
      </c>
      <c r="O238">
        <f t="shared" si="13"/>
        <v>51.63777138034137</v>
      </c>
      <c r="P238">
        <f>Таблица5[[#This Row],[Xi]]^2</f>
        <v>158.76</v>
      </c>
      <c r="R238" s="3">
        <v>1</v>
      </c>
      <c r="S238">
        <f t="shared" si="14"/>
        <v>-1.9982786885245902</v>
      </c>
      <c r="T238">
        <f t="shared" si="15"/>
        <v>3.9931177170115562</v>
      </c>
      <c r="U238">
        <f>Таблица6[[#This Row],[Yi]]^2</f>
        <v>1</v>
      </c>
      <c r="W238">
        <f>Таблица5[[#This Row],[Xi]]*Таблица6[[#This Row],[Yi]]</f>
        <v>12.6</v>
      </c>
    </row>
    <row r="239" spans="1:23" x14ac:dyDescent="0.25">
      <c r="A239" t="s">
        <v>357</v>
      </c>
      <c r="B239" t="s">
        <v>358</v>
      </c>
      <c r="C239" t="s">
        <v>15</v>
      </c>
      <c r="D239" t="s">
        <v>115</v>
      </c>
      <c r="E239" t="s">
        <v>51</v>
      </c>
      <c r="F239" t="s">
        <v>12</v>
      </c>
      <c r="G239">
        <v>2</v>
      </c>
      <c r="J239">
        <v>32.83</v>
      </c>
      <c r="K239">
        <v>1.17</v>
      </c>
      <c r="M239" s="2">
        <v>32.83</v>
      </c>
      <c r="N239">
        <f t="shared" si="12"/>
        <v>13.044057377049175</v>
      </c>
      <c r="O239">
        <f t="shared" si="13"/>
        <v>170.14743285575099</v>
      </c>
      <c r="P239">
        <f>Таблица5[[#This Row],[Xi]]^2</f>
        <v>1077.8089</v>
      </c>
      <c r="R239" s="4">
        <v>1.17</v>
      </c>
      <c r="S239">
        <f t="shared" si="14"/>
        <v>-1.8282786885245903</v>
      </c>
      <c r="T239">
        <f t="shared" si="15"/>
        <v>3.3426029629131957</v>
      </c>
      <c r="U239">
        <f>Таблица6[[#This Row],[Yi]]^2</f>
        <v>1.3688999999999998</v>
      </c>
      <c r="W239">
        <f>Таблица5[[#This Row],[Xi]]*Таблица6[[#This Row],[Yi]]</f>
        <v>38.411099999999998</v>
      </c>
    </row>
    <row r="240" spans="1:23" x14ac:dyDescent="0.25">
      <c r="A240" t="s">
        <v>359</v>
      </c>
      <c r="B240" t="s">
        <v>360</v>
      </c>
      <c r="C240" t="s">
        <v>9</v>
      </c>
      <c r="D240" t="s">
        <v>10</v>
      </c>
      <c r="E240" t="s">
        <v>51</v>
      </c>
      <c r="F240" t="s">
        <v>12</v>
      </c>
      <c r="G240">
        <v>3</v>
      </c>
      <c r="J240">
        <v>35.83</v>
      </c>
      <c r="K240">
        <v>4.67</v>
      </c>
      <c r="M240" s="1">
        <v>35.83</v>
      </c>
      <c r="N240">
        <f t="shared" si="12"/>
        <v>16.044057377049175</v>
      </c>
      <c r="O240">
        <f t="shared" si="13"/>
        <v>257.41177711804602</v>
      </c>
      <c r="P240">
        <f>Таблица5[[#This Row],[Xi]]^2</f>
        <v>1283.7888999999998</v>
      </c>
      <c r="R240" s="3">
        <v>4.67</v>
      </c>
      <c r="S240">
        <f t="shared" si="14"/>
        <v>1.6717213114754097</v>
      </c>
      <c r="T240">
        <f t="shared" si="15"/>
        <v>2.7946521432410636</v>
      </c>
      <c r="U240">
        <f>Таблица6[[#This Row],[Yi]]^2</f>
        <v>21.808899999999998</v>
      </c>
      <c r="W240">
        <f>Таблица5[[#This Row],[Xi]]*Таблица6[[#This Row],[Yi]]</f>
        <v>167.3261</v>
      </c>
    </row>
    <row r="241" spans="1:25" x14ac:dyDescent="0.25">
      <c r="A241" t="s">
        <v>361</v>
      </c>
      <c r="B241" t="s">
        <v>362</v>
      </c>
      <c r="C241" t="s">
        <v>15</v>
      </c>
      <c r="D241" t="s">
        <v>10</v>
      </c>
      <c r="E241" t="s">
        <v>51</v>
      </c>
      <c r="F241" t="s">
        <v>12</v>
      </c>
      <c r="G241">
        <v>3</v>
      </c>
      <c r="J241">
        <v>29.03</v>
      </c>
      <c r="K241">
        <v>5.92</v>
      </c>
      <c r="M241" s="2">
        <v>29.03</v>
      </c>
      <c r="N241">
        <f t="shared" si="12"/>
        <v>9.2440573770491774</v>
      </c>
      <c r="O241">
        <f t="shared" si="13"/>
        <v>85.452596790177324</v>
      </c>
      <c r="P241">
        <f>Таблица5[[#This Row],[Xi]]^2</f>
        <v>842.74090000000001</v>
      </c>
      <c r="R241" s="4">
        <v>5.92</v>
      </c>
      <c r="S241">
        <f t="shared" si="14"/>
        <v>2.9217213114754097</v>
      </c>
      <c r="T241">
        <f t="shared" si="15"/>
        <v>8.5364554219295883</v>
      </c>
      <c r="U241">
        <f>Таблица6[[#This Row],[Yi]]^2</f>
        <v>35.046399999999998</v>
      </c>
      <c r="W241">
        <f>Таблица5[[#This Row],[Xi]]*Таблица6[[#This Row],[Yi]]</f>
        <v>171.85759999999999</v>
      </c>
    </row>
    <row r="242" spans="1:25" x14ac:dyDescent="0.25">
      <c r="A242" t="s">
        <v>363</v>
      </c>
      <c r="B242" t="s">
        <v>25</v>
      </c>
      <c r="C242" t="s">
        <v>9</v>
      </c>
      <c r="D242" t="s">
        <v>115</v>
      </c>
      <c r="E242" t="s">
        <v>51</v>
      </c>
      <c r="F242" t="s">
        <v>12</v>
      </c>
      <c r="G242">
        <v>2</v>
      </c>
      <c r="J242">
        <v>27.18</v>
      </c>
      <c r="K242">
        <v>2</v>
      </c>
      <c r="M242" s="1">
        <v>27.18</v>
      </c>
      <c r="N242">
        <f t="shared" si="12"/>
        <v>7.394057377049176</v>
      </c>
      <c r="O242">
        <f t="shared" si="13"/>
        <v>54.672084495095341</v>
      </c>
      <c r="P242">
        <f>Таблица5[[#This Row],[Xi]]^2</f>
        <v>738.75239999999997</v>
      </c>
      <c r="R242" s="3">
        <v>2</v>
      </c>
      <c r="S242">
        <f t="shared" si="14"/>
        <v>-0.99827868852459023</v>
      </c>
      <c r="T242">
        <f t="shared" si="15"/>
        <v>0.99656033996237581</v>
      </c>
      <c r="U242">
        <f>Таблица6[[#This Row],[Yi]]^2</f>
        <v>4</v>
      </c>
      <c r="W242">
        <f>Таблица5[[#This Row],[Xi]]*Таблица6[[#This Row],[Yi]]</f>
        <v>54.36</v>
      </c>
    </row>
    <row r="243" spans="1:25" x14ac:dyDescent="0.25">
      <c r="A243" t="s">
        <v>364</v>
      </c>
      <c r="B243" t="s">
        <v>25</v>
      </c>
      <c r="C243" t="s">
        <v>15</v>
      </c>
      <c r="D243" t="s">
        <v>115</v>
      </c>
      <c r="E243" t="s">
        <v>51</v>
      </c>
      <c r="F243" t="s">
        <v>12</v>
      </c>
      <c r="G243">
        <v>2</v>
      </c>
      <c r="J243">
        <v>22.67</v>
      </c>
      <c r="K243">
        <v>2</v>
      </c>
      <c r="M243" s="2">
        <v>22.67</v>
      </c>
      <c r="N243">
        <f t="shared" si="12"/>
        <v>2.884057377049178</v>
      </c>
      <c r="O243">
        <f t="shared" si="13"/>
        <v>8.317786954111785</v>
      </c>
      <c r="P243">
        <f>Таблица5[[#This Row],[Xi]]^2</f>
        <v>513.92890000000011</v>
      </c>
      <c r="R243" s="4">
        <v>2</v>
      </c>
      <c r="S243">
        <f t="shared" si="14"/>
        <v>-0.99827868852459023</v>
      </c>
      <c r="T243">
        <f t="shared" si="15"/>
        <v>0.99656033996237581</v>
      </c>
      <c r="U243">
        <f>Таблица6[[#This Row],[Yi]]^2</f>
        <v>4</v>
      </c>
      <c r="W243">
        <f>Таблица5[[#This Row],[Xi]]*Таблица6[[#This Row],[Yi]]</f>
        <v>45.34</v>
      </c>
    </row>
    <row r="244" spans="1:25" x14ac:dyDescent="0.25">
      <c r="A244" t="s">
        <v>365</v>
      </c>
      <c r="B244" t="s">
        <v>366</v>
      </c>
      <c r="C244" t="s">
        <v>15</v>
      </c>
      <c r="D244" t="s">
        <v>10</v>
      </c>
      <c r="E244" t="s">
        <v>51</v>
      </c>
      <c r="F244" t="s">
        <v>12</v>
      </c>
      <c r="G244">
        <v>2</v>
      </c>
      <c r="J244">
        <v>17.82</v>
      </c>
      <c r="K244">
        <v>1.75</v>
      </c>
      <c r="M244" s="1">
        <v>17.82</v>
      </c>
      <c r="N244">
        <f t="shared" si="12"/>
        <v>-1.9659426229508234</v>
      </c>
      <c r="O244">
        <f t="shared" si="13"/>
        <v>3.8649303967347635</v>
      </c>
      <c r="P244">
        <f>Таблица5[[#This Row],[Xi]]^2</f>
        <v>317.55240000000003</v>
      </c>
      <c r="R244" s="3">
        <v>1.75</v>
      </c>
      <c r="S244">
        <f t="shared" si="14"/>
        <v>-1.2482786885245902</v>
      </c>
      <c r="T244">
        <f t="shared" si="15"/>
        <v>1.558199684224671</v>
      </c>
      <c r="U244">
        <f>Таблица6[[#This Row],[Yi]]^2</f>
        <v>3.0625</v>
      </c>
      <c r="W244">
        <f>Таблица5[[#This Row],[Xi]]*Таблица6[[#This Row],[Yi]]</f>
        <v>31.185000000000002</v>
      </c>
    </row>
    <row r="245" spans="1:25" x14ac:dyDescent="0.25">
      <c r="A245" t="s">
        <v>367</v>
      </c>
      <c r="B245" t="s">
        <v>39</v>
      </c>
      <c r="C245" t="s">
        <v>9</v>
      </c>
      <c r="D245" t="s">
        <v>10</v>
      </c>
      <c r="E245" t="s">
        <v>151</v>
      </c>
      <c r="F245" t="s">
        <v>12</v>
      </c>
      <c r="G245">
        <v>2</v>
      </c>
      <c r="J245">
        <v>18.78</v>
      </c>
      <c r="K245">
        <v>3</v>
      </c>
      <c r="M245" s="2">
        <v>18.78</v>
      </c>
      <c r="N245">
        <f t="shared" si="12"/>
        <v>-1.0059426229508226</v>
      </c>
      <c r="O245">
        <f t="shared" si="13"/>
        <v>1.0119205606691808</v>
      </c>
      <c r="P245">
        <f>Таблица5[[#This Row],[Xi]]^2</f>
        <v>352.68840000000006</v>
      </c>
      <c r="R245" s="4">
        <v>3</v>
      </c>
      <c r="S245">
        <f t="shared" si="14"/>
        <v>1.7213114754097703E-3</v>
      </c>
      <c r="T245">
        <f t="shared" si="15"/>
        <v>2.9629131953773601E-6</v>
      </c>
      <c r="U245">
        <f>Таблица6[[#This Row],[Yi]]^2</f>
        <v>9</v>
      </c>
      <c r="W245">
        <f>Таблица5[[#This Row],[Xi]]*Таблица6[[#This Row],[Yi]]</f>
        <v>56.34</v>
      </c>
    </row>
    <row r="247" spans="1:25" x14ac:dyDescent="0.25">
      <c r="I247" t="s">
        <v>368</v>
      </c>
      <c r="J247">
        <f>AVERAGE(Таблица4[total_bill])</f>
        <v>19.785942622950824</v>
      </c>
      <c r="L247" t="s">
        <v>374</v>
      </c>
      <c r="M247">
        <f>SUM(O2:O245) / J249</f>
        <v>78.928131488511127</v>
      </c>
      <c r="O247" t="s">
        <v>379</v>
      </c>
      <c r="P247">
        <f>SQRT(M247)</f>
        <v>8.8841505777711305</v>
      </c>
      <c r="R247" t="s">
        <v>384</v>
      </c>
      <c r="S247">
        <f>SUM(Таблица5[Xi^2]) / J249</f>
        <v>470.4116569672131</v>
      </c>
      <c r="U247" t="s">
        <v>388</v>
      </c>
      <c r="V247">
        <f>(S249 - J247 * J248) / M247</f>
        <v>0.10502451738435337</v>
      </c>
      <c r="X247">
        <v>0</v>
      </c>
      <c r="Y247">
        <f>$V$247*X247 + $V$248</f>
        <v>0.92026961355467307</v>
      </c>
    </row>
    <row r="248" spans="1:25" x14ac:dyDescent="0.25">
      <c r="I248" t="s">
        <v>369</v>
      </c>
      <c r="J248">
        <f>AVERAGE(Таблица4[tip])</f>
        <v>2.9982786885245902</v>
      </c>
      <c r="L248" t="s">
        <v>375</v>
      </c>
      <c r="M248">
        <f>SUM(Таблица6[(Yi - Yср)^2]) / J249</f>
        <v>1.9066085124966428</v>
      </c>
      <c r="O248" t="s">
        <v>380</v>
      </c>
      <c r="P248">
        <f>SQRT(M248)</f>
        <v>1.3807999538298958</v>
      </c>
      <c r="R248" t="s">
        <v>385</v>
      </c>
      <c r="S248">
        <f>SUM(Таблица6[Yi^2]) / J249</f>
        <v>10.896283606557377</v>
      </c>
      <c r="U248" t="s">
        <v>389</v>
      </c>
      <c r="V248">
        <f>J248 - V247 * J247</f>
        <v>0.92026961355467307</v>
      </c>
      <c r="X248">
        <f>60</f>
        <v>60</v>
      </c>
      <c r="Y248">
        <f>$V$247*X248 + $V$248</f>
        <v>7.2217406566158751</v>
      </c>
    </row>
    <row r="249" spans="1:25" x14ac:dyDescent="0.25">
      <c r="I249" t="s">
        <v>373</v>
      </c>
      <c r="J249">
        <v>244</v>
      </c>
      <c r="R249" t="s">
        <v>386</v>
      </c>
      <c r="S249">
        <f>SUM(Таблица8[Yi * Xi]) / J249</f>
        <v>67.613159016393453</v>
      </c>
    </row>
    <row r="251" spans="1:25" x14ac:dyDescent="0.25">
      <c r="R251" t="s">
        <v>387</v>
      </c>
      <c r="S251">
        <f>(S249 - J247 * J248) / (SQRT((S247 - J247^2) * (S248 - J248^2)))</f>
        <v>0.6757341092113649</v>
      </c>
    </row>
    <row r="253" spans="1:25" x14ac:dyDescent="0.25">
      <c r="R253" t="s">
        <v>390</v>
      </c>
      <c r="S253">
        <f>SQRT((1-S251^2)/(J249-2))</f>
        <v>4.7385504184415429E-2</v>
      </c>
    </row>
    <row r="254" spans="1:25" x14ac:dyDescent="0.25">
      <c r="R254" t="s">
        <v>391</v>
      </c>
      <c r="S254">
        <f>S251/S253</f>
        <v>14.260354951200592</v>
      </c>
    </row>
    <row r="255" spans="1:25" x14ac:dyDescent="0.25">
      <c r="R255" t="s">
        <v>392</v>
      </c>
      <c r="S255">
        <f>_xlfn.T.INV.2T(0.05,J249-1)</f>
        <v>1.9697743954267517</v>
      </c>
    </row>
  </sheetData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9230DB-B8D4-4B55-AA06-6DEFC6C14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tip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Dmitry Kadarmetov</cp:lastModifiedBy>
  <dcterms:created xsi:type="dcterms:W3CDTF">2015-06-05T18:19:34Z</dcterms:created>
  <dcterms:modified xsi:type="dcterms:W3CDTF">2025-11-20T12:36:10Z</dcterms:modified>
</cp:coreProperties>
</file>